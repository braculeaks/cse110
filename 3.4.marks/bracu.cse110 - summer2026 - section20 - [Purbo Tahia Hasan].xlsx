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kSheet" sheetId="1" r:id="rId5"/>
    <sheet state="visible" name="Sec20" sheetId="2" r:id="rId6"/>
    <sheet state="visible" name="attendance" sheetId="3" r:id="rId7"/>
  </sheets>
  <definedNames/>
  <calcPr/>
</workbook>
</file>

<file path=xl/sharedStrings.xml><?xml version="1.0" encoding="utf-8"?>
<sst xmlns="http://schemas.openxmlformats.org/spreadsheetml/2006/main" count="1208" uniqueCount="199">
  <si>
    <t>Student Id</t>
  </si>
  <si>
    <t>Name</t>
  </si>
  <si>
    <t>QUIZ 1</t>
  </si>
  <si>
    <t>QUIZ 2</t>
  </si>
  <si>
    <t>QUIZ 3</t>
  </si>
  <si>
    <t>Student ID</t>
  </si>
  <si>
    <t>QUIZ 4</t>
  </si>
  <si>
    <t>QUIZ 5</t>
  </si>
  <si>
    <t>QUIZ (20)</t>
  </si>
  <si>
    <t>MID (25)</t>
  </si>
  <si>
    <t>FINAL</t>
  </si>
  <si>
    <t>TOTAL(75)</t>
  </si>
  <si>
    <t>LAB(25)</t>
  </si>
  <si>
    <t>Program</t>
  </si>
  <si>
    <t>TOTAL(100)</t>
  </si>
  <si>
    <t>Regular Class (1) 10-06-2026 08:00 AM - 09:20 AM</t>
  </si>
  <si>
    <t>Regular Class (2) 15-06-2026 08:00 AM - 09:20 AM</t>
  </si>
  <si>
    <t>ROUNDED(100)</t>
  </si>
  <si>
    <t>Regular Class (3) 17-06-2026 08:00 AM - 09:20 AM</t>
  </si>
  <si>
    <t>Regular Class (4) 22-06-2026 08:00 AM - 09:20 AM</t>
  </si>
  <si>
    <t>GRADE</t>
  </si>
  <si>
    <t>Regular Class (5) 24-06-2026 08:00 AM - 09:20 AM</t>
  </si>
  <si>
    <t>Regular Class (6) 29-06-2026 08:00 AM - 09:20 AM</t>
  </si>
  <si>
    <t>24301246</t>
  </si>
  <si>
    <t>Regular Class (7) 01-07-2026 08:00 AM - 09:20 AM</t>
  </si>
  <si>
    <t>Regular Class (8) 06-07-2026 08:00 AM - 09:20 AM</t>
  </si>
  <si>
    <t>Md Riazul Islam</t>
  </si>
  <si>
    <t>Regular Class (9) 08-07-2026 08:00 AM - 09:20 AM</t>
  </si>
  <si>
    <t>Regular Class (10) 13-07-2026 08:00 AM - 09:20 AM</t>
  </si>
  <si>
    <t>Regular Class (11) 15-07-2026 08:00 AM - 09:20 AM</t>
  </si>
  <si>
    <t>Regular Class (12) 20-07-2026 08:00 AM - 09:20 AM</t>
  </si>
  <si>
    <t>Regular Class (13) 22-07-2026 08:00 AM - 09:20 AM</t>
  </si>
  <si>
    <t>Regular Class (14) 27-07-2026 08:00 AM - 09:20 AM</t>
  </si>
  <si>
    <t>Regular Class (15) 29-07-2026 08:00 AM - 09:20 AM</t>
  </si>
  <si>
    <t>Regular Class (16) 03-08-2026 08:00 AM - 09:20 AM</t>
  </si>
  <si>
    <t>Regular Class (17) 10-08-2026 08:00 AM - 09:20 AM</t>
  </si>
  <si>
    <t>Regular Class (18) 12-08-2026 08:00 AM - 09:20 AM</t>
  </si>
  <si>
    <t>Regular Class (19) 17-08-2026 08:00 AM - 09:20 AM</t>
  </si>
  <si>
    <t>FACULTY</t>
  </si>
  <si>
    <t>Regular Class (20) 19-08-2026 08:00 AM - 09:20 AM</t>
  </si>
  <si>
    <t>Regular Class (21) 24-08-2026 08:00 AM - 09:20 AM</t>
  </si>
  <si>
    <t>Regular Class (22) 31-08-2026 08:00 AM - 09:20 AM</t>
  </si>
  <si>
    <t>Regular Class (23) 02-09-2026 08:00 AM - 09:20 AM</t>
  </si>
  <si>
    <t>CPTH</t>
  </si>
  <si>
    <t>Regular Class (24) 07-09-2026 08:00 AM - 09:20 AM</t>
  </si>
  <si>
    <t>Attended</t>
  </si>
  <si>
    <t>Missed</t>
  </si>
  <si>
    <t>COURSE</t>
  </si>
  <si>
    <t>Remaining</t>
  </si>
  <si>
    <t>CSE110</t>
  </si>
  <si>
    <t>Attendance %</t>
  </si>
  <si>
    <t>1000054197</t>
  </si>
  <si>
    <t>Md. Sahrior Islam</t>
  </si>
  <si>
    <t>SECTION</t>
  </si>
  <si>
    <t>CS</t>
  </si>
  <si>
    <t>Present</t>
  </si>
  <si>
    <t>SL</t>
  </si>
  <si>
    <t>Absent</t>
  </si>
  <si>
    <t>ID</t>
  </si>
  <si>
    <t>i</t>
  </si>
  <si>
    <t>GSUITE</t>
  </si>
  <si>
    <t>1000054285</t>
  </si>
  <si>
    <t>Ahnaf Ahmad</t>
  </si>
  <si>
    <t>CSE</t>
  </si>
  <si>
    <t>Absent Count</t>
  </si>
  <si>
    <t>Final Exam Eligibility</t>
  </si>
  <si>
    <t>CLASS 1</t>
  </si>
  <si>
    <t>CLASS 2</t>
  </si>
  <si>
    <t>CLASS 3</t>
  </si>
  <si>
    <t>CLASS 4</t>
  </si>
  <si>
    <t>1000054916</t>
  </si>
  <si>
    <t>Mustakim Rahman</t>
  </si>
  <si>
    <t>CLASS 5</t>
  </si>
  <si>
    <t>CLASS 6</t>
  </si>
  <si>
    <t>CLASS 7</t>
  </si>
  <si>
    <t>CLASS 8</t>
  </si>
  <si>
    <t>CLASS 9</t>
  </si>
  <si>
    <t>CLASS 10</t>
  </si>
  <si>
    <t>CLASS 11</t>
  </si>
  <si>
    <t>CLASS 12</t>
  </si>
  <si>
    <t>CLASS 13</t>
  </si>
  <si>
    <t>CLASS 14</t>
  </si>
  <si>
    <t>CLASS 15</t>
  </si>
  <si>
    <t>CLASS 16</t>
  </si>
  <si>
    <t>1000055413</t>
  </si>
  <si>
    <t>Sheikh Md. Tamim Tahsin Hoque</t>
  </si>
  <si>
    <t>CLASS 17</t>
  </si>
  <si>
    <t>CLASS 18</t>
  </si>
  <si>
    <t>CLASS 19</t>
  </si>
  <si>
    <t>CLASS 20</t>
  </si>
  <si>
    <t>CLASS 21</t>
  </si>
  <si>
    <t>CLASS 22</t>
  </si>
  <si>
    <t>CLASS 23</t>
  </si>
  <si>
    <t>CLASS 24</t>
  </si>
  <si>
    <t>1000055464</t>
  </si>
  <si>
    <t>Md Sajedul Islam</t>
  </si>
  <si>
    <t>CLASS 25</t>
  </si>
  <si>
    <t>CLASS 26</t>
  </si>
  <si>
    <t>1000057558</t>
  </si>
  <si>
    <t>Sibgatul Habib</t>
  </si>
  <si>
    <t>24301188</t>
  </si>
  <si>
    <t>Syeda Nuraiya Anchal</t>
  </si>
  <si>
    <t>1000057671</t>
  </si>
  <si>
    <t>Ridwan Ahsan</t>
  </si>
  <si>
    <t>1000058162</t>
  </si>
  <si>
    <t>Nawshin Mahjabin Namira</t>
  </si>
  <si>
    <t>BBA</t>
  </si>
  <si>
    <t>24121362</t>
  </si>
  <si>
    <t>Hrishin Talukder</t>
  </si>
  <si>
    <t>W</t>
  </si>
  <si>
    <t>1000058202</t>
  </si>
  <si>
    <t>Farhan Ishrak</t>
  </si>
  <si>
    <t>24121039</t>
  </si>
  <si>
    <t>Md. Afzal Hossain Anik</t>
  </si>
  <si>
    <t>1000058711</t>
  </si>
  <si>
    <t>Anindya Dey</t>
  </si>
  <si>
    <t>1000058943</t>
  </si>
  <si>
    <t>Ahasanul Haque</t>
  </si>
  <si>
    <t>23201218</t>
  </si>
  <si>
    <t>M.M. Hidayatul Islam</t>
  </si>
  <si>
    <t>1000059415</t>
  </si>
  <si>
    <t>Shateera Nuzrat</t>
  </si>
  <si>
    <t>1000062102</t>
  </si>
  <si>
    <t>Nahian Binta Masud</t>
  </si>
  <si>
    <t>Attd.</t>
  </si>
  <si>
    <t>1000059417</t>
  </si>
  <si>
    <t>Raisa Samiha</t>
  </si>
  <si>
    <t>1000059469</t>
  </si>
  <si>
    <t>MD FAHMID IBN ISLAM</t>
  </si>
  <si>
    <t>1000061799</t>
  </si>
  <si>
    <t>Marsia Sarwat</t>
  </si>
  <si>
    <t>1000059472</t>
  </si>
  <si>
    <t>Mohammad Jabale Noor</t>
  </si>
  <si>
    <t>1000061638</t>
  </si>
  <si>
    <t>TAHASINA AKTER ANISHA</t>
  </si>
  <si>
    <t>1000059495</t>
  </si>
  <si>
    <t>Fabiha Akther Lamisa</t>
  </si>
  <si>
    <t>sahriorislam787898@gmail.com</t>
  </si>
  <si>
    <t>1000059524</t>
  </si>
  <si>
    <t>Nusrat Jahan Chowdhury Sirat</t>
  </si>
  <si>
    <t>1000061066</t>
  </si>
  <si>
    <t>Tahmid Abrar Shayor</t>
  </si>
  <si>
    <t>1000059531</t>
  </si>
  <si>
    <t>TASLIM RAHMAN JIHAD</t>
  </si>
  <si>
    <t>1000060466</t>
  </si>
  <si>
    <t>Washikuzzaman shad</t>
  </si>
  <si>
    <t>1000059551</t>
  </si>
  <si>
    <t>Syed Samin Yasar</t>
  </si>
  <si>
    <t>1000060356</t>
  </si>
  <si>
    <t>Arindo Faiyas</t>
  </si>
  <si>
    <t>1000059553</t>
  </si>
  <si>
    <t>Novojit Saha</t>
  </si>
  <si>
    <t>1000060334</t>
  </si>
  <si>
    <t>JAWAD ISLAM</t>
  </si>
  <si>
    <t>1000060029</t>
  </si>
  <si>
    <t>S.M. Raiyan Zaman</t>
  </si>
  <si>
    <t>1000060278</t>
  </si>
  <si>
    <t>Fairuj Nowshin</t>
  </si>
  <si>
    <t>hashembadal2@gmail.com</t>
  </si>
  <si>
    <t>mustakim80rahman@gmail.com</t>
  </si>
  <si>
    <t>tamim.tahsin.hoque@g.bracu.ac.bd</t>
  </si>
  <si>
    <t>MIC</t>
  </si>
  <si>
    <t>md.sajedul.islam@g.bracu.ac.bd</t>
  </si>
  <si>
    <t>BIO</t>
  </si>
  <si>
    <t>sibgatul.habib@g.bracu.ac.bd</t>
  </si>
  <si>
    <t>EEE</t>
  </si>
  <si>
    <t>ridwansiam111@gmail.com</t>
  </si>
  <si>
    <t>nawshinmahjabin21@gmail.com</t>
  </si>
  <si>
    <t>1000057796</t>
  </si>
  <si>
    <t>Muhammad Naymul Haque</t>
  </si>
  <si>
    <t>ishrak563@gmail.com</t>
  </si>
  <si>
    <t>1000056864</t>
  </si>
  <si>
    <t>Md Fahrear Ahmed Nafi</t>
  </si>
  <si>
    <t>ahasanul.haque@g.bracu.ac.bd</t>
  </si>
  <si>
    <t>shateeranuzrat14@gmail.com</t>
  </si>
  <si>
    <t>raisa.samiha@g.bracu.ac.bd</t>
  </si>
  <si>
    <t>ifahmid04@gmail.com</t>
  </si>
  <si>
    <t>jabalenoor040@gmail.com</t>
  </si>
  <si>
    <t>fabiha.lamisa25@gmail.com</t>
  </si>
  <si>
    <t>siratchowdhury3@gmail.com</t>
  </si>
  <si>
    <t>www.trjihad924@gmail.com</t>
  </si>
  <si>
    <t>afzal.hossain.anik@g.bracu.ac.bd</t>
  </si>
  <si>
    <t>syeda.nuraiya.anchal@g.bracu.ac.bd</t>
  </si>
  <si>
    <t>md.riazul.islam@g.bracu.ac.bd</t>
  </si>
  <si>
    <t>mm.hidayatul.islam@g.bracu.ac.bd</t>
  </si>
  <si>
    <t>hrishin.talukder@g.bracu.ac.bd</t>
  </si>
  <si>
    <t>fahrear.ahmed.nafi@g.bracu.ac.bd</t>
  </si>
  <si>
    <t>naymulhaque321@gmail.com</t>
  </si>
  <si>
    <t>syedaritra2007@gmail.com</t>
  </si>
  <si>
    <t>aoyonboss2055@gmail.com</t>
  </si>
  <si>
    <t>raiyanzaman722@gmail.com</t>
  </si>
  <si>
    <t>fairuj574@gmail.com</t>
  </si>
  <si>
    <t>jawad.islam@g.bracu.ac.bd</t>
  </si>
  <si>
    <t>arindofaiyas2017@gmail.com</t>
  </si>
  <si>
    <t>www.wzshad@gmail.com</t>
  </si>
  <si>
    <t>tahmid.1309@gmail.com</t>
  </si>
  <si>
    <t>anisha.tahasina7@gmail.com</t>
  </si>
  <si>
    <t>Marsiasarwat@gmail.com</t>
  </si>
  <si>
    <t>nahian.binta.masud@g.bracu.ac.bd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</si>
</sst>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-&quot;mmm"/>
  </numFmts>
  <fonts count="22">
    <font>
      <sz val="10.0"/>
      <color rgb="FF000000"/>
      <name val="Arial"/>
      <scheme val="minor"/>
    </font>
    <font>
      <b/>
      <sz val="12.0"/>
      <color rgb="FF000000"/>
      <name val="Arial"/>
    </font>
    <font>
      <b/>
      <color theme="1"/>
      <name val="Arial"/>
      <scheme val="minor"/>
    </font>
    <font>
      <sz val="12.0"/>
      <color theme="1"/>
      <name val="Calibri"/>
    </font>
    <font>
      <b/>
      <sz val="11.0"/>
      <color theme="1"/>
      <name val="Arial"/>
    </font>
    <font>
      <sz val="11.0"/>
      <color rgb="FF000000"/>
      <name val="Arial"/>
    </font>
    <font>
      <sz val="11.0"/>
      <color theme="1"/>
      <name val="Arial"/>
    </font>
    <font>
      <b/>
      <sz val="18.0"/>
      <color theme="1"/>
      <name val="Lora"/>
    </font>
    <font>
      <b/>
      <sz val="14.0"/>
      <color theme="1"/>
      <name val="Arial"/>
      <scheme val="minor"/>
    </font>
    <font>
      <b/>
      <sz val="12.0"/>
      <color theme="1"/>
      <name val="Arial"/>
      <scheme val="minor"/>
    </font>
    <font>
      <b/>
      <sz val="15.0"/>
      <color theme="1"/>
      <name val="Lora"/>
    </font>
    <font>
      <b/>
      <sz val="14.0"/>
      <color theme="1"/>
      <name val="Arial"/>
    </font>
    <font>
      <b/>
      <color theme="1"/>
      <name val="Arial"/>
    </font>
    <font>
      <color theme="1"/>
      <name val="Arial"/>
      <scheme val="minor"/>
    </font>
    <font>
      <b/>
      <sz val="12.0"/>
      <color theme="1"/>
      <name val="Arial"/>
    </font>
    <font/>
    <font>
      <sz val="11.0"/>
      <color theme="1"/>
      <name val="Arial"/>
      <scheme val="minor"/>
    </font>
    <font>
      <color theme="1"/>
      <name val="Arial"/>
    </font>
    <font>
      <b/>
      <sz val="9.0"/>
      <color theme="1"/>
      <name val="Arial"/>
    </font>
    <font>
      <b/>
      <sz val="10.0"/>
      <color theme="1"/>
      <name val="Arial"/>
    </font>
    <font>
      <sz val="10.0"/>
      <color theme="1"/>
      <name val="Arial"/>
      <scheme val="minor"/>
    </font>
    <font>
      <sz val="10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DBDBD"/>
        <bgColor rgb="FFBDBDBD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thick">
        <color rgb="FF000000"/>
      </left>
      <top style="medium">
        <color rgb="FF000000"/>
      </top>
    </border>
    <border>
      <left style="thick">
        <color rgb="FF000000"/>
      </left>
    </border>
    <border>
      <left style="medium">
        <color rgb="FF000000"/>
      </left>
    </border>
    <border>
      <left style="medium">
        <color rgb="FF000000"/>
      </left>
      <right style="thick">
        <color rgb="FF000000"/>
      </right>
    </border>
    <border>
      <left style="medium">
        <color rgb="FF000000"/>
      </left>
      <right style="medium">
        <color rgb="FF000000"/>
      </right>
    </border>
    <border>
      <left style="thick">
        <color rgb="FF000000"/>
      </left>
      <right style="medium">
        <color rgb="FF000000"/>
      </right>
    </border>
    <border>
      <right style="medium">
        <color rgb="FF000000"/>
      </right>
    </border>
    <border>
      <right style="thick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ck">
        <color rgb="FF000000"/>
      </bottom>
    </border>
    <border>
      <left style="medium">
        <color rgb="FF000000"/>
      </lef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left style="medium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vertical="bottom"/>
    </xf>
    <xf borderId="1" fillId="0" fontId="2" numFmtId="0" xfId="0" applyAlignment="1" applyBorder="1" applyFont="1">
      <alignment horizontal="center" readingOrder="0"/>
    </xf>
    <xf borderId="0" fillId="0" fontId="3" numFmtId="0" xfId="0" applyAlignment="1" applyFont="1">
      <alignment vertical="bottom"/>
    </xf>
    <xf borderId="1" fillId="0" fontId="4" numFmtId="0" xfId="0" applyAlignment="1" applyBorder="1" applyFont="1">
      <alignment horizontal="center" shrinkToFit="0" vertical="bottom" wrapText="0"/>
    </xf>
    <xf borderId="1" fillId="2" fontId="5" numFmtId="49" xfId="0" applyAlignment="1" applyBorder="1" applyFill="1" applyFont="1" applyNumberFormat="1">
      <alignment horizontal="left" shrinkToFit="0" vertical="bottom" wrapText="1"/>
    </xf>
    <xf borderId="1" fillId="0" fontId="6" numFmtId="0" xfId="0" applyAlignment="1" applyBorder="1" applyFont="1">
      <alignment horizontal="center" readingOrder="0" shrinkToFit="0" wrapText="1"/>
    </xf>
    <xf borderId="1" fillId="0" fontId="6" numFmtId="0" xfId="0" applyAlignment="1" applyBorder="1" applyFont="1">
      <alignment horizontal="center" readingOrder="0"/>
    </xf>
    <xf borderId="0" fillId="0" fontId="7" numFmtId="0" xfId="0" applyAlignment="1" applyFont="1">
      <alignment horizontal="left" readingOrder="0" shrinkToFit="0" wrapText="0"/>
    </xf>
    <xf borderId="0" fillId="0" fontId="8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0" fontId="10" numFmtId="0" xfId="0" applyAlignment="1" applyFont="1">
      <alignment horizontal="left" readingOrder="0" shrinkToFit="0" wrapText="0"/>
    </xf>
    <xf borderId="0" fillId="0" fontId="3" numFmtId="164" xfId="0" applyAlignment="1" applyFont="1" applyNumberFormat="1">
      <alignment vertical="bottom"/>
    </xf>
    <xf borderId="2" fillId="3" fontId="11" numFmtId="0" xfId="0" applyAlignment="1" applyBorder="1" applyFill="1" applyFont="1">
      <alignment horizontal="center" shrinkToFit="0" vertical="center" wrapText="1"/>
    </xf>
    <xf borderId="1" fillId="0" fontId="6" numFmtId="0" xfId="0" applyAlignment="1" applyBorder="1" applyFont="1">
      <alignment horizontal="center"/>
    </xf>
    <xf borderId="3" fillId="3" fontId="11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right" readingOrder="0" vertical="bottom"/>
    </xf>
    <xf borderId="3" fillId="3" fontId="11" numFmtId="0" xfId="0" applyAlignment="1" applyBorder="1" applyFill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bottom" wrapText="0"/>
    </xf>
    <xf borderId="4" fillId="3" fontId="12" numFmtId="0" xfId="0" applyAlignment="1" applyBorder="1" applyFill="1" applyFont="1">
      <alignment horizontal="center" shrinkToFit="0" vertical="center" wrapText="1"/>
    </xf>
    <xf borderId="1" fillId="0" fontId="13" numFmtId="0" xfId="0" applyAlignment="1" applyBorder="1" applyFont="1">
      <alignment horizontal="center"/>
    </xf>
    <xf borderId="3" fillId="3" fontId="14" numFmtId="0" xfId="0" applyAlignment="1" applyBorder="1" applyFill="1" applyFont="1">
      <alignment horizontal="center" readingOrder="0" shrinkToFit="0" vertical="center" wrapText="1"/>
    </xf>
    <xf borderId="5" fillId="3" fontId="12" numFmtId="0" xfId="0" applyAlignment="1" applyBorder="1" applyFill="1" applyFont="1">
      <alignment horizontal="center" readingOrder="0" shrinkToFit="0" vertical="center" wrapText="1"/>
    </xf>
    <xf borderId="1" fillId="0" fontId="6" numFmtId="1" xfId="0" applyAlignment="1" applyBorder="1" applyFont="1" applyNumberFormat="1">
      <alignment horizontal="center" shrinkToFit="0" vertical="bottom" wrapText="0"/>
    </xf>
    <xf borderId="6" fillId="3" fontId="12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7" fillId="3" fontId="12" numFmtId="0" xfId="0" applyAlignment="1" applyBorder="1" applyFill="1" applyFont="1">
      <alignment horizontal="center" readingOrder="0" shrinkToFit="0" vertical="center" wrapText="1"/>
    </xf>
    <xf borderId="8" fillId="2" fontId="15" numFmtId="0" xfId="0" applyBorder="1" applyFill="1" applyFont="1"/>
    <xf borderId="6" fillId="2" fontId="15" numFmtId="0" xfId="0" applyBorder="1" applyFill="1" applyFont="1"/>
    <xf borderId="5" fillId="2" fontId="15" numFmtId="0" xfId="0" applyBorder="1" applyFill="1" applyFont="1"/>
    <xf borderId="1" fillId="0" fontId="16" numFmtId="0" xfId="0" applyAlignment="1" applyBorder="1" applyFont="1">
      <alignment horizontal="center"/>
    </xf>
    <xf borderId="9" fillId="2" fontId="12" numFmtId="164" xfId="0" applyAlignment="1" applyBorder="1" applyFill="1" applyFont="1" applyNumberFormat="1">
      <alignment horizontal="center" readingOrder="0" shrinkToFit="0" vertical="center" wrapText="0"/>
    </xf>
    <xf borderId="10" fillId="2" fontId="12" numFmtId="164" xfId="0" applyAlignment="1" applyBorder="1" applyFill="1" applyFont="1" applyNumberFormat="1">
      <alignment horizontal="center" readingOrder="0" shrinkToFit="0" vertical="center" wrapText="0"/>
    </xf>
    <xf borderId="0" fillId="4" fontId="3" numFmtId="0" xfId="0" applyAlignment="1" applyFill="1" applyFont="1">
      <alignment vertical="bottom"/>
    </xf>
    <xf borderId="0" fillId="4" fontId="3" numFmtId="0" xfId="0" applyAlignment="1" applyFill="1" applyFont="1">
      <alignment vertical="bottom"/>
    </xf>
    <xf borderId="11" fillId="2" fontId="12" numFmtId="164" xfId="0" applyAlignment="1" applyBorder="1" applyFill="1" applyFont="1" applyNumberFormat="1">
      <alignment horizontal="center" readingOrder="0" shrinkToFit="0" vertical="center" wrapText="0"/>
    </xf>
    <xf borderId="0" fillId="4" fontId="3" numFmtId="0" xfId="0" applyAlignment="1" applyFill="1" applyFont="1">
      <alignment horizontal="right" vertical="bottom"/>
    </xf>
    <xf borderId="1" fillId="2" fontId="5" numFmtId="49" xfId="0" applyAlignment="1" applyBorder="1" applyFill="1" applyFont="1" applyNumberFormat="1">
      <alignment horizontal="left" shrinkToFit="0" vertical="center" wrapText="1"/>
    </xf>
    <xf borderId="11" fillId="2" fontId="12" numFmtId="164" xfId="0" applyAlignment="1" applyBorder="1" applyFill="1" applyFont="1" applyNumberFormat="1">
      <alignment horizontal="center" shrinkToFit="0" vertical="center" wrapText="0"/>
    </xf>
    <xf borderId="12" fillId="5" fontId="15" numFmtId="0" xfId="0" applyBorder="1" applyFill="1" applyFont="1"/>
    <xf borderId="13" fillId="5" fontId="15" numFmtId="0" xfId="0" applyBorder="1" applyFill="1" applyFont="1"/>
    <xf borderId="14" fillId="5" fontId="15" numFmtId="0" xfId="0" applyBorder="1" applyFill="1" applyFont="1"/>
    <xf borderId="15" fillId="5" fontId="15" numFmtId="0" xfId="0" applyBorder="1" applyFill="1" applyFont="1"/>
    <xf borderId="15" fillId="5" fontId="12" numFmtId="0" xfId="0" applyAlignment="1" applyBorder="1" applyFill="1" applyFont="1">
      <alignment horizontal="center" shrinkToFit="0" vertical="center" wrapText="1"/>
    </xf>
    <xf borderId="14" fillId="5" fontId="12" numFmtId="0" xfId="0" applyAlignment="1" applyBorder="1" applyFill="1" applyFont="1">
      <alignment horizontal="center" shrinkToFit="0" vertical="center" wrapText="1"/>
    </xf>
    <xf borderId="16" fillId="5" fontId="12" numFmtId="0" xfId="0" applyAlignment="1" applyBorder="1" applyFill="1" applyFont="1">
      <alignment horizontal="center" shrinkToFit="0" vertical="center" wrapText="1"/>
    </xf>
    <xf borderId="0" fillId="2" fontId="13" numFmtId="0" xfId="0" applyAlignment="1" applyFill="1" applyFont="1">
      <alignment horizontal="center" readingOrder="0"/>
    </xf>
    <xf borderId="1" fillId="2" fontId="17" numFmtId="49" xfId="0" applyAlignment="1" applyBorder="1" applyFill="1" applyFont="1" applyNumberFormat="1">
      <alignment vertical="bottom"/>
    </xf>
    <xf borderId="17" fillId="2" fontId="18" numFmtId="0" xfId="0" applyAlignment="1" applyBorder="1" applyFill="1" applyFont="1">
      <alignment horizontal="center" shrinkToFit="0" vertical="center" wrapText="1"/>
    </xf>
    <xf borderId="1" fillId="2" fontId="19" numFmtId="0" xfId="0" applyAlignment="1" applyBorder="1" applyFill="1" applyFont="1">
      <alignment horizontal="center" shrinkToFit="0" vertical="center" wrapText="1"/>
    </xf>
    <xf borderId="0" fillId="2" fontId="20" numFmtId="0" xfId="0" applyAlignment="1" applyFill="1" applyFont="1">
      <alignment horizontal="center" readingOrder="0"/>
    </xf>
    <xf borderId="0" fillId="2" fontId="20" numFmtId="0" xfId="0" applyAlignment="1" applyFill="1" applyFont="1">
      <alignment horizontal="center" vertical="bottom"/>
    </xf>
    <xf borderId="0" fillId="2" fontId="20" numFmtId="0" xfId="0" applyAlignment="1" applyFill="1" applyFont="1">
      <alignment horizontal="center" readingOrder="0" vertical="bottom"/>
    </xf>
    <xf borderId="0" fillId="2" fontId="13" numFmtId="0" xfId="0" applyFill="1" applyFont="1"/>
    <xf borderId="0" fillId="2" fontId="13" numFmtId="0" xfId="0" applyAlignment="1" applyFill="1" applyFont="1">
      <alignment horizontal="left"/>
    </xf>
    <xf borderId="0" fillId="0" fontId="13" numFmtId="0" xfId="0" applyAlignment="1" applyFont="1">
      <alignment horizontal="left"/>
    </xf>
    <xf borderId="0" fillId="5" fontId="13" numFmtId="0" xfId="0" applyAlignment="1" applyFill="1" applyFont="1">
      <alignment horizontal="center" readingOrder="0"/>
    </xf>
    <xf borderId="17" fillId="5" fontId="18" numFmtId="0" xfId="0" applyAlignment="1" applyBorder="1" applyFill="1" applyFont="1">
      <alignment horizontal="center" shrinkToFit="0" vertical="center" wrapText="1"/>
    </xf>
    <xf borderId="1" fillId="5" fontId="19" numFmtId="0" xfId="0" applyAlignment="1" applyBorder="1" applyFill="1" applyFont="1">
      <alignment horizontal="center" shrinkToFit="0" vertical="center" wrapText="1"/>
    </xf>
    <xf borderId="0" fillId="5" fontId="20" numFmtId="0" xfId="0" applyAlignment="1" applyFill="1" applyFont="1">
      <alignment horizontal="center" readingOrder="0"/>
    </xf>
    <xf borderId="0" fillId="5" fontId="20" numFmtId="0" xfId="0" applyAlignment="1" applyFill="1" applyFont="1">
      <alignment horizontal="center" readingOrder="0" vertical="bottom"/>
    </xf>
    <xf borderId="0" fillId="5" fontId="20" numFmtId="0" xfId="0" applyAlignment="1" applyFill="1" applyFont="1">
      <alignment horizontal="center" vertical="bottom"/>
    </xf>
    <xf borderId="0" fillId="5" fontId="13" numFmtId="0" xfId="0" applyFill="1" applyFont="1"/>
    <xf borderId="0" fillId="5" fontId="13" numFmtId="0" xfId="0" applyAlignment="1" applyFill="1" applyFont="1">
      <alignment horizontal="left"/>
    </xf>
    <xf borderId="0" fillId="4" fontId="3" numFmtId="0" xfId="0" applyAlignment="1" applyFill="1" applyFont="1">
      <alignment horizontal="right" readingOrder="0" vertical="bottom"/>
    </xf>
    <xf borderId="1" fillId="6" fontId="17" numFmtId="49" xfId="0" applyAlignment="1" applyBorder="1" applyFill="1" applyFont="1" applyNumberFormat="1">
      <alignment vertical="bottom"/>
    </xf>
    <xf borderId="0" fillId="0" fontId="13" numFmtId="0" xfId="0" applyAlignment="1" applyFont="1">
      <alignment readingOrder="0"/>
    </xf>
    <xf borderId="0" fillId="0" fontId="13" numFmtId="0" xfId="0" applyFont="1"/>
    <xf borderId="0" fillId="7" fontId="20" numFmtId="0" xfId="0" applyAlignment="1" applyFill="1" applyFont="1">
      <alignment horizontal="center" readingOrder="0" vertical="bottom"/>
    </xf>
    <xf borderId="1" fillId="2" fontId="21" numFmtId="49" xfId="0" applyAlignment="1" applyBorder="1" applyFill="1" applyFont="1" applyNumberFormat="1">
      <alignment horizontal="left" shrinkToFit="0" vertical="bottom" wrapText="1"/>
    </xf>
    <xf borderId="1" fillId="5" fontId="13" numFmtId="0" xfId="0" applyAlignment="1" applyBorder="1" applyFill="1" applyFont="1">
      <alignment horizontal="center" readingOrder="0" shrinkToFit="0" wrapText="1"/>
    </xf>
    <xf borderId="1" fillId="5" fontId="13" numFmtId="0" xfId="0" applyAlignment="1" applyBorder="1" applyFill="1" applyFont="1">
      <alignment horizontal="center"/>
    </xf>
    <xf borderId="1" fillId="0" fontId="5" numFmtId="49" xfId="0" applyAlignment="1" applyBorder="1" applyFont="1" applyNumberFormat="1">
      <alignment horizontal="left" shrinkToFit="0" vertical="bottom" wrapText="1"/>
    </xf>
    <xf borderId="1" fillId="2" fontId="17" numFmtId="49" xfId="0" applyBorder="1" applyFill="1" applyFont="1" applyNumberFormat="1"/>
    <xf borderId="0" fillId="2" fontId="20" numFmtId="0" xfId="0" applyAlignment="1" applyFill="1" applyFont="1">
      <alignment horizontal="center" vertical="bottom"/>
    </xf>
    <xf borderId="1" fillId="5" fontId="17" numFmtId="49" xfId="0" applyAlignment="1" applyBorder="1" applyFill="1" applyFont="1" applyNumberFormat="1">
      <alignment vertical="bottom"/>
    </xf>
    <xf borderId="0" fillId="2" fontId="13" numFmtId="0" xfId="0" applyFill="1" applyFont="1"/>
    <xf borderId="0" fillId="5" fontId="13" numFmtId="0" xfId="0" applyFill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37.88"/>
    <col hidden="1" min="3" max="12" width="12.63"/>
    <col customWidth="1" min="14" max="14" width="15.6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6</v>
      </c>
      <c r="G1" s="3" t="s">
        <v>7</v>
      </c>
      <c r="H1" s="3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14</v>
      </c>
      <c r="N1" s="7" t="s">
        <v>17</v>
      </c>
      <c r="O1" s="7" t="s">
        <v>20</v>
      </c>
    </row>
    <row r="2">
      <c r="A2" s="8" t="s">
        <v>23</v>
      </c>
      <c r="B2" s="8" t="s">
        <v>26</v>
      </c>
      <c r="C2" s="9">
        <v>0.0</v>
      </c>
      <c r="D2" s="10">
        <v>8.5</v>
      </c>
      <c r="E2" s="10">
        <v>10.0</v>
      </c>
      <c r="F2" s="10">
        <v>8.0</v>
      </c>
      <c r="G2" s="10">
        <v>0.0</v>
      </c>
      <c r="H2" s="18">
        <f t="shared" ref="H2:H36" si="1">IFERROR(ROUND(AVERAGE(LARGE(C2:G2,1),LARGE(C2:G2,2),LARGE(C2:G2,3)),2),"")</f>
        <v>8.83</v>
      </c>
      <c r="I2" s="10">
        <v>16.0</v>
      </c>
      <c r="J2" s="10" t="s">
        <v>59</v>
      </c>
      <c r="K2" s="18">
        <f t="shared" ref="K2:K36" si="2">SUM(H2:J2)</f>
        <v>24.83</v>
      </c>
      <c r="L2" s="22">
        <v>11.81</v>
      </c>
      <c r="M2" s="24">
        <f t="shared" ref="M2:M36" si="3">SUM(K2:L2)</f>
        <v>36.64</v>
      </c>
      <c r="N2" s="27">
        <f t="shared" ref="N2:N36" si="4">IF(M2="","",ROUND(M2,0))</f>
        <v>37</v>
      </c>
      <c r="O2" s="35" t="str">
        <f t="shared" ref="O2:O36" si="5">IF(N2="","",IF(N2&gt;=97,"A+",IF(N2&gt;=90,"A",IF(N2&gt;=85,"A-",IF(N2&gt;=80,"B+",IF(N2&gt;=75,"B",IF(N2&gt;=70,"B-",IF(N2&gt;=65,"C+",IF(N2&gt;=60,"C",IF(N2&gt;=57,"C-",IF(N2&gt;=55,"D+",IF(N2&gt;=52,"D",IF(N2&gt;=50,"D-","F")))))))))))))</f>
        <v>F</v>
      </c>
    </row>
    <row r="3">
      <c r="A3" s="8" t="s">
        <v>100</v>
      </c>
      <c r="B3" s="8" t="s">
        <v>101</v>
      </c>
      <c r="C3" s="9">
        <v>14.5</v>
      </c>
      <c r="D3" s="10">
        <v>0.0</v>
      </c>
      <c r="E3" s="10">
        <v>0.0</v>
      </c>
      <c r="F3" s="10">
        <v>6.0</v>
      </c>
      <c r="G3" s="10">
        <v>0.0</v>
      </c>
      <c r="H3" s="18">
        <f t="shared" si="1"/>
        <v>6.83</v>
      </c>
      <c r="I3" s="10">
        <v>10.5</v>
      </c>
      <c r="J3" s="10">
        <v>1.0</v>
      </c>
      <c r="K3" s="18">
        <f t="shared" si="2"/>
        <v>18.33</v>
      </c>
      <c r="L3" s="22">
        <v>13.11</v>
      </c>
      <c r="M3" s="24">
        <f t="shared" si="3"/>
        <v>31.44</v>
      </c>
      <c r="N3" s="27">
        <f t="shared" si="4"/>
        <v>31</v>
      </c>
      <c r="O3" s="35" t="str">
        <f t="shared" si="5"/>
        <v>F</v>
      </c>
    </row>
    <row r="4">
      <c r="A4" s="8" t="s">
        <v>107</v>
      </c>
      <c r="B4" s="8" t="s">
        <v>108</v>
      </c>
      <c r="C4" s="9">
        <v>0.0</v>
      </c>
      <c r="D4" s="10">
        <v>10.0</v>
      </c>
      <c r="E4" s="10">
        <v>0.0</v>
      </c>
      <c r="F4" s="10">
        <v>14.0</v>
      </c>
      <c r="G4" s="10">
        <v>0.0</v>
      </c>
      <c r="H4" s="18">
        <f t="shared" si="1"/>
        <v>8</v>
      </c>
      <c r="I4" s="10">
        <v>12.5</v>
      </c>
      <c r="J4" s="10" t="s">
        <v>109</v>
      </c>
      <c r="K4" s="18">
        <f t="shared" si="2"/>
        <v>20.5</v>
      </c>
      <c r="L4" s="22">
        <v>3.09</v>
      </c>
      <c r="M4" s="24">
        <f t="shared" si="3"/>
        <v>23.59</v>
      </c>
      <c r="N4" s="27">
        <f t="shared" si="4"/>
        <v>24</v>
      </c>
      <c r="O4" s="35" t="str">
        <f t="shared" si="5"/>
        <v>F</v>
      </c>
    </row>
    <row r="5">
      <c r="A5" s="42" t="s">
        <v>112</v>
      </c>
      <c r="B5" s="8" t="s">
        <v>113</v>
      </c>
      <c r="C5" s="9">
        <v>0.0</v>
      </c>
      <c r="D5" s="10">
        <v>10.0</v>
      </c>
      <c r="E5" s="10">
        <v>19.5</v>
      </c>
      <c r="F5" s="10">
        <v>16.0</v>
      </c>
      <c r="G5" s="10">
        <v>8.0</v>
      </c>
      <c r="H5" s="18">
        <f t="shared" si="1"/>
        <v>15.17</v>
      </c>
      <c r="I5" s="10">
        <v>16.5</v>
      </c>
      <c r="J5" s="10">
        <v>11.0</v>
      </c>
      <c r="K5" s="18">
        <f t="shared" si="2"/>
        <v>42.67</v>
      </c>
      <c r="L5" s="22">
        <v>20.22</v>
      </c>
      <c r="M5" s="24">
        <f t="shared" si="3"/>
        <v>62.89</v>
      </c>
      <c r="N5" s="27">
        <f t="shared" si="4"/>
        <v>63</v>
      </c>
      <c r="O5" s="35" t="str">
        <f t="shared" si="5"/>
        <v>C</v>
      </c>
    </row>
    <row r="6">
      <c r="A6" s="8" t="s">
        <v>118</v>
      </c>
      <c r="B6" s="8" t="s">
        <v>119</v>
      </c>
      <c r="C6" s="9">
        <v>12.0</v>
      </c>
      <c r="D6" s="10">
        <v>17.0</v>
      </c>
      <c r="E6" s="10">
        <v>20.0</v>
      </c>
      <c r="F6" s="10">
        <v>20.0</v>
      </c>
      <c r="G6" s="10">
        <v>12.0</v>
      </c>
      <c r="H6" s="18">
        <f t="shared" si="1"/>
        <v>19</v>
      </c>
      <c r="I6" s="10">
        <v>11.5</v>
      </c>
      <c r="J6" s="10">
        <v>11.0</v>
      </c>
      <c r="K6" s="18">
        <f t="shared" si="2"/>
        <v>41.5</v>
      </c>
      <c r="L6" s="22">
        <v>18.24</v>
      </c>
      <c r="M6" s="24">
        <f t="shared" si="3"/>
        <v>59.74</v>
      </c>
      <c r="N6" s="27">
        <f t="shared" si="4"/>
        <v>60</v>
      </c>
      <c r="O6" s="35" t="str">
        <f t="shared" si="5"/>
        <v>C</v>
      </c>
    </row>
    <row r="7">
      <c r="A7" s="8" t="s">
        <v>122</v>
      </c>
      <c r="B7" s="8" t="s">
        <v>123</v>
      </c>
      <c r="C7" s="9">
        <v>18.5</v>
      </c>
      <c r="D7" s="10">
        <v>10.5</v>
      </c>
      <c r="E7" s="10">
        <v>14.0</v>
      </c>
      <c r="F7" s="10">
        <v>20.0</v>
      </c>
      <c r="G7" s="10">
        <v>10.0</v>
      </c>
      <c r="H7" s="18">
        <f t="shared" si="1"/>
        <v>17.5</v>
      </c>
      <c r="I7" s="10">
        <v>10.5</v>
      </c>
      <c r="J7" s="10">
        <v>13.5</v>
      </c>
      <c r="K7" s="18">
        <f t="shared" si="2"/>
        <v>41.5</v>
      </c>
      <c r="L7" s="22">
        <v>16.8</v>
      </c>
      <c r="M7" s="24">
        <f t="shared" si="3"/>
        <v>58.3</v>
      </c>
      <c r="N7" s="27">
        <f t="shared" si="4"/>
        <v>58</v>
      </c>
      <c r="O7" s="35" t="str">
        <f t="shared" si="5"/>
        <v>C-</v>
      </c>
    </row>
    <row r="8">
      <c r="A8" s="8" t="s">
        <v>129</v>
      </c>
      <c r="B8" s="8" t="s">
        <v>130</v>
      </c>
      <c r="C8" s="9">
        <v>14.0</v>
      </c>
      <c r="D8" s="10">
        <v>7.0</v>
      </c>
      <c r="E8" s="10">
        <v>15.0</v>
      </c>
      <c r="F8" s="10">
        <v>10.0</v>
      </c>
      <c r="G8" s="10">
        <v>0.0</v>
      </c>
      <c r="H8" s="18">
        <f t="shared" si="1"/>
        <v>13</v>
      </c>
      <c r="I8" s="10">
        <v>10.0</v>
      </c>
      <c r="J8" s="10">
        <v>7.0</v>
      </c>
      <c r="K8" s="18">
        <f t="shared" si="2"/>
        <v>30</v>
      </c>
      <c r="L8" s="22">
        <v>16.9</v>
      </c>
      <c r="M8" s="24">
        <f t="shared" si="3"/>
        <v>46.9</v>
      </c>
      <c r="N8" s="27">
        <f t="shared" si="4"/>
        <v>47</v>
      </c>
      <c r="O8" s="35" t="str">
        <f t="shared" si="5"/>
        <v>F</v>
      </c>
    </row>
    <row r="9">
      <c r="A9" s="8" t="s">
        <v>133</v>
      </c>
      <c r="B9" s="8" t="s">
        <v>134</v>
      </c>
      <c r="C9" s="9">
        <v>4.0</v>
      </c>
      <c r="D9" s="10">
        <v>7.5</v>
      </c>
      <c r="E9" s="10">
        <v>0.0</v>
      </c>
      <c r="F9" s="10">
        <v>6.0</v>
      </c>
      <c r="G9" s="10">
        <v>0.0</v>
      </c>
      <c r="H9" s="18">
        <f t="shared" si="1"/>
        <v>5.83</v>
      </c>
      <c r="I9" s="10">
        <v>4.5</v>
      </c>
      <c r="J9" s="10">
        <v>0.5</v>
      </c>
      <c r="K9" s="18">
        <f t="shared" si="2"/>
        <v>10.83</v>
      </c>
      <c r="L9" s="22">
        <v>10.36</v>
      </c>
      <c r="M9" s="24">
        <f t="shared" si="3"/>
        <v>21.19</v>
      </c>
      <c r="N9" s="27">
        <f t="shared" si="4"/>
        <v>21</v>
      </c>
      <c r="O9" s="35" t="str">
        <f t="shared" si="5"/>
        <v>F</v>
      </c>
    </row>
    <row r="10">
      <c r="A10" s="8" t="s">
        <v>140</v>
      </c>
      <c r="B10" s="8" t="s">
        <v>141</v>
      </c>
      <c r="C10" s="9">
        <v>20.0</v>
      </c>
      <c r="D10" s="10">
        <v>0.0</v>
      </c>
      <c r="E10" s="10">
        <v>16.5</v>
      </c>
      <c r="F10" s="10">
        <v>16.0</v>
      </c>
      <c r="G10" s="10">
        <v>6.0</v>
      </c>
      <c r="H10" s="18">
        <f t="shared" si="1"/>
        <v>17.5</v>
      </c>
      <c r="I10" s="10">
        <v>17.5</v>
      </c>
      <c r="J10" s="10">
        <v>18.0</v>
      </c>
      <c r="K10" s="18">
        <f t="shared" si="2"/>
        <v>53</v>
      </c>
      <c r="L10" s="22">
        <v>16.6</v>
      </c>
      <c r="M10" s="24">
        <f t="shared" si="3"/>
        <v>69.6</v>
      </c>
      <c r="N10" s="27">
        <f t="shared" si="4"/>
        <v>70</v>
      </c>
      <c r="O10" s="35" t="str">
        <f t="shared" si="5"/>
        <v>B-</v>
      </c>
    </row>
    <row r="11">
      <c r="A11" s="8" t="s">
        <v>144</v>
      </c>
      <c r="B11" s="8" t="s">
        <v>145</v>
      </c>
      <c r="C11" s="9">
        <v>6.0</v>
      </c>
      <c r="D11" s="10">
        <v>0.0</v>
      </c>
      <c r="E11" s="10">
        <v>20.0</v>
      </c>
      <c r="F11" s="10">
        <v>14.0</v>
      </c>
      <c r="G11" s="10">
        <v>0.0</v>
      </c>
      <c r="H11" s="18">
        <f t="shared" si="1"/>
        <v>13.33</v>
      </c>
      <c r="I11" s="10">
        <v>3.0</v>
      </c>
      <c r="J11" s="10" t="s">
        <v>59</v>
      </c>
      <c r="K11" s="18">
        <f t="shared" si="2"/>
        <v>16.33</v>
      </c>
      <c r="L11" s="22">
        <v>8.94</v>
      </c>
      <c r="M11" s="24">
        <f t="shared" si="3"/>
        <v>25.27</v>
      </c>
      <c r="N11" s="27">
        <f t="shared" si="4"/>
        <v>25</v>
      </c>
      <c r="O11" s="35" t="str">
        <f t="shared" si="5"/>
        <v>F</v>
      </c>
    </row>
    <row r="12">
      <c r="A12" s="8" t="s">
        <v>148</v>
      </c>
      <c r="B12" s="8" t="s">
        <v>149</v>
      </c>
      <c r="C12" s="9">
        <v>0.0</v>
      </c>
      <c r="D12" s="10">
        <v>0.0</v>
      </c>
      <c r="E12" s="10">
        <v>0.0</v>
      </c>
      <c r="F12" s="10">
        <v>0.0</v>
      </c>
      <c r="G12" s="10">
        <v>0.0</v>
      </c>
      <c r="H12" s="18">
        <f t="shared" si="1"/>
        <v>0</v>
      </c>
      <c r="I12" s="10">
        <v>8.5</v>
      </c>
      <c r="J12" s="10">
        <v>0.0</v>
      </c>
      <c r="K12" s="18">
        <f t="shared" si="2"/>
        <v>8.5</v>
      </c>
      <c r="L12" s="22">
        <v>0.0</v>
      </c>
      <c r="M12" s="24">
        <f t="shared" si="3"/>
        <v>8.5</v>
      </c>
      <c r="N12" s="27">
        <f t="shared" si="4"/>
        <v>9</v>
      </c>
      <c r="O12" s="35" t="str">
        <f t="shared" si="5"/>
        <v>F</v>
      </c>
    </row>
    <row r="13">
      <c r="A13" s="8" t="s">
        <v>152</v>
      </c>
      <c r="B13" s="8" t="s">
        <v>153</v>
      </c>
      <c r="C13" s="9">
        <v>20.0</v>
      </c>
      <c r="D13" s="10">
        <v>9.0</v>
      </c>
      <c r="E13" s="10">
        <v>5.0</v>
      </c>
      <c r="F13" s="10">
        <v>14.0</v>
      </c>
      <c r="G13" s="10">
        <v>0.0</v>
      </c>
      <c r="H13" s="18">
        <f t="shared" si="1"/>
        <v>14.33</v>
      </c>
      <c r="I13" s="10">
        <v>12.5</v>
      </c>
      <c r="J13" s="10">
        <v>9.0</v>
      </c>
      <c r="K13" s="18">
        <f t="shared" si="2"/>
        <v>35.83</v>
      </c>
      <c r="L13" s="22">
        <v>16.19</v>
      </c>
      <c r="M13" s="24">
        <f t="shared" si="3"/>
        <v>52.02</v>
      </c>
      <c r="N13" s="27">
        <f t="shared" si="4"/>
        <v>52</v>
      </c>
      <c r="O13" s="35" t="str">
        <f t="shared" si="5"/>
        <v>D</v>
      </c>
    </row>
    <row r="14">
      <c r="A14" s="8" t="s">
        <v>156</v>
      </c>
      <c r="B14" s="8" t="s">
        <v>157</v>
      </c>
      <c r="C14" s="9">
        <v>14.0</v>
      </c>
      <c r="D14" s="10">
        <v>12.0</v>
      </c>
      <c r="E14" s="10">
        <v>0.0</v>
      </c>
      <c r="F14" s="10">
        <v>14.0</v>
      </c>
      <c r="G14" s="10">
        <v>6.0</v>
      </c>
      <c r="H14" s="18">
        <f t="shared" si="1"/>
        <v>13.33</v>
      </c>
      <c r="I14" s="10">
        <v>11.0</v>
      </c>
      <c r="J14" s="10">
        <v>5.5</v>
      </c>
      <c r="K14" s="18">
        <f t="shared" si="2"/>
        <v>29.83</v>
      </c>
      <c r="L14" s="22">
        <v>14.84</v>
      </c>
      <c r="M14" s="24">
        <f t="shared" si="3"/>
        <v>44.67</v>
      </c>
      <c r="N14" s="27">
        <f t="shared" si="4"/>
        <v>45</v>
      </c>
      <c r="O14" s="35" t="str">
        <f t="shared" si="5"/>
        <v>F</v>
      </c>
    </row>
    <row r="15">
      <c r="A15" s="8" t="s">
        <v>154</v>
      </c>
      <c r="B15" s="8" t="s">
        <v>155</v>
      </c>
      <c r="C15" s="9">
        <v>20.0</v>
      </c>
      <c r="D15" s="10">
        <v>13.0</v>
      </c>
      <c r="E15" s="10">
        <v>20.0</v>
      </c>
      <c r="F15" s="10">
        <v>7.0</v>
      </c>
      <c r="G15" s="10">
        <v>0.0</v>
      </c>
      <c r="H15" s="18">
        <f t="shared" si="1"/>
        <v>17.67</v>
      </c>
      <c r="I15" s="10">
        <v>19.0</v>
      </c>
      <c r="J15" s="10">
        <v>16.5</v>
      </c>
      <c r="K15" s="18">
        <f t="shared" si="2"/>
        <v>53.17</v>
      </c>
      <c r="L15" s="22">
        <v>21.48</v>
      </c>
      <c r="M15" s="24">
        <f t="shared" si="3"/>
        <v>74.65</v>
      </c>
      <c r="N15" s="27">
        <f t="shared" si="4"/>
        <v>75</v>
      </c>
      <c r="O15" s="35" t="str">
        <f t="shared" si="5"/>
        <v>B</v>
      </c>
    </row>
    <row r="16">
      <c r="A16" s="8" t="s">
        <v>150</v>
      </c>
      <c r="B16" s="8" t="s">
        <v>151</v>
      </c>
      <c r="C16" s="9">
        <v>20.0</v>
      </c>
      <c r="D16" s="10">
        <v>20.0</v>
      </c>
      <c r="E16" s="10">
        <v>14.0</v>
      </c>
      <c r="F16" s="10">
        <v>20.0</v>
      </c>
      <c r="G16" s="10">
        <v>12.0</v>
      </c>
      <c r="H16" s="18">
        <f t="shared" si="1"/>
        <v>20</v>
      </c>
      <c r="I16" s="10">
        <v>20.5</v>
      </c>
      <c r="J16" s="10">
        <v>14.5</v>
      </c>
      <c r="K16" s="18">
        <f t="shared" si="2"/>
        <v>55</v>
      </c>
      <c r="L16" s="22">
        <v>20.23</v>
      </c>
      <c r="M16" s="24">
        <f t="shared" si="3"/>
        <v>75.23</v>
      </c>
      <c r="N16" s="27">
        <f t="shared" si="4"/>
        <v>75</v>
      </c>
      <c r="O16" s="35" t="str">
        <f t="shared" si="5"/>
        <v>B</v>
      </c>
    </row>
    <row r="17">
      <c r="A17" s="8" t="s">
        <v>146</v>
      </c>
      <c r="B17" s="8" t="s">
        <v>147</v>
      </c>
      <c r="C17" s="9">
        <v>19.0</v>
      </c>
      <c r="D17" s="10">
        <v>12.0</v>
      </c>
      <c r="E17" s="10">
        <v>17.0</v>
      </c>
      <c r="F17" s="10">
        <v>8.0</v>
      </c>
      <c r="G17" s="10">
        <v>5.0</v>
      </c>
      <c r="H17" s="18">
        <f t="shared" si="1"/>
        <v>16</v>
      </c>
      <c r="I17" s="10">
        <v>11.75</v>
      </c>
      <c r="J17" s="10">
        <v>11.0</v>
      </c>
      <c r="K17" s="18">
        <f t="shared" si="2"/>
        <v>38.75</v>
      </c>
      <c r="L17" s="22">
        <v>22.5</v>
      </c>
      <c r="M17" s="24">
        <f t="shared" si="3"/>
        <v>61.25</v>
      </c>
      <c r="N17" s="27">
        <f t="shared" si="4"/>
        <v>61</v>
      </c>
      <c r="O17" s="35" t="str">
        <f t="shared" si="5"/>
        <v>C</v>
      </c>
    </row>
    <row r="18">
      <c r="A18" s="8" t="s">
        <v>142</v>
      </c>
      <c r="B18" s="8" t="s">
        <v>143</v>
      </c>
      <c r="C18" s="9">
        <v>17.0</v>
      </c>
      <c r="D18" s="10">
        <v>8.0</v>
      </c>
      <c r="E18" s="10">
        <v>1.0</v>
      </c>
      <c r="F18" s="10">
        <v>0.0</v>
      </c>
      <c r="G18" s="10">
        <v>0.0</v>
      </c>
      <c r="H18" s="18">
        <f t="shared" si="1"/>
        <v>8.67</v>
      </c>
      <c r="I18" s="10">
        <v>3.5</v>
      </c>
      <c r="J18" s="10">
        <v>0.5</v>
      </c>
      <c r="K18" s="18">
        <f t="shared" si="2"/>
        <v>12.67</v>
      </c>
      <c r="L18" s="22">
        <v>7.14</v>
      </c>
      <c r="M18" s="24">
        <f t="shared" si="3"/>
        <v>19.81</v>
      </c>
      <c r="N18" s="27">
        <f t="shared" si="4"/>
        <v>20</v>
      </c>
      <c r="O18" s="35" t="str">
        <f t="shared" si="5"/>
        <v>F</v>
      </c>
    </row>
    <row r="19">
      <c r="A19" s="8" t="s">
        <v>138</v>
      </c>
      <c r="B19" s="8" t="s">
        <v>139</v>
      </c>
      <c r="C19" s="9">
        <v>12.0</v>
      </c>
      <c r="D19" s="10">
        <v>17.0</v>
      </c>
      <c r="E19" s="10">
        <v>12.0</v>
      </c>
      <c r="F19" s="10">
        <v>0.0</v>
      </c>
      <c r="G19" s="10">
        <v>7.0</v>
      </c>
      <c r="H19" s="18">
        <f t="shared" si="1"/>
        <v>13.67</v>
      </c>
      <c r="I19" s="10">
        <v>16.0</v>
      </c>
      <c r="J19" s="10">
        <v>11.25</v>
      </c>
      <c r="K19" s="18">
        <f t="shared" si="2"/>
        <v>40.92</v>
      </c>
      <c r="L19" s="22">
        <v>18.6</v>
      </c>
      <c r="M19" s="24">
        <f t="shared" si="3"/>
        <v>59.52</v>
      </c>
      <c r="N19" s="27">
        <f t="shared" si="4"/>
        <v>60</v>
      </c>
      <c r="O19" s="35" t="str">
        <f t="shared" si="5"/>
        <v>C</v>
      </c>
    </row>
    <row r="20">
      <c r="A20" s="8" t="s">
        <v>135</v>
      </c>
      <c r="B20" s="8" t="s">
        <v>136</v>
      </c>
      <c r="C20" s="9">
        <v>20.0</v>
      </c>
      <c r="D20" s="10">
        <v>12.5</v>
      </c>
      <c r="E20" s="10">
        <v>0.0</v>
      </c>
      <c r="F20" s="10">
        <v>18.0</v>
      </c>
      <c r="G20" s="10">
        <v>0.0</v>
      </c>
      <c r="H20" s="18">
        <f t="shared" si="1"/>
        <v>16.83</v>
      </c>
      <c r="I20" s="10">
        <v>13.5</v>
      </c>
      <c r="J20" s="10">
        <v>9.75</v>
      </c>
      <c r="K20" s="18">
        <f t="shared" si="2"/>
        <v>40.08</v>
      </c>
      <c r="L20" s="22">
        <v>20.6</v>
      </c>
      <c r="M20" s="24">
        <f t="shared" si="3"/>
        <v>60.68</v>
      </c>
      <c r="N20" s="27">
        <f t="shared" si="4"/>
        <v>61</v>
      </c>
      <c r="O20" s="35" t="str">
        <f t="shared" si="5"/>
        <v>C</v>
      </c>
    </row>
    <row r="21">
      <c r="A21" s="8" t="s">
        <v>131</v>
      </c>
      <c r="B21" s="8" t="s">
        <v>132</v>
      </c>
      <c r="C21" s="9">
        <v>12.0</v>
      </c>
      <c r="D21" s="10">
        <v>8.5</v>
      </c>
      <c r="E21" s="10">
        <v>0.0</v>
      </c>
      <c r="F21" s="10">
        <v>0.0</v>
      </c>
      <c r="G21" s="10">
        <v>0.0</v>
      </c>
      <c r="H21" s="18">
        <f t="shared" si="1"/>
        <v>6.83</v>
      </c>
      <c r="I21" s="10">
        <v>25.0</v>
      </c>
      <c r="J21" s="10">
        <v>4.25</v>
      </c>
      <c r="K21" s="18">
        <f t="shared" si="2"/>
        <v>36.08</v>
      </c>
      <c r="L21" s="22">
        <v>18.41</v>
      </c>
      <c r="M21" s="24">
        <f t="shared" si="3"/>
        <v>54.49</v>
      </c>
      <c r="N21" s="27">
        <f t="shared" si="4"/>
        <v>54</v>
      </c>
      <c r="O21" s="35" t="str">
        <f t="shared" si="5"/>
        <v>D</v>
      </c>
    </row>
    <row r="22">
      <c r="A22" s="8" t="s">
        <v>127</v>
      </c>
      <c r="B22" s="8" t="s">
        <v>128</v>
      </c>
      <c r="C22" s="9">
        <v>18.0</v>
      </c>
      <c r="D22" s="10">
        <v>15.0</v>
      </c>
      <c r="E22" s="10">
        <v>17.5</v>
      </c>
      <c r="F22" s="10">
        <v>0.0</v>
      </c>
      <c r="G22" s="10">
        <v>5.0</v>
      </c>
      <c r="H22" s="18">
        <f t="shared" si="1"/>
        <v>16.83</v>
      </c>
      <c r="I22" s="10">
        <v>18.0</v>
      </c>
      <c r="J22" s="10">
        <v>14.25</v>
      </c>
      <c r="K22" s="18">
        <f t="shared" si="2"/>
        <v>49.08</v>
      </c>
      <c r="L22" s="22">
        <v>20.71</v>
      </c>
      <c r="M22" s="24">
        <f t="shared" si="3"/>
        <v>69.79</v>
      </c>
      <c r="N22" s="27">
        <f t="shared" si="4"/>
        <v>70</v>
      </c>
      <c r="O22" s="35" t="str">
        <f t="shared" si="5"/>
        <v>B-</v>
      </c>
    </row>
    <row r="23">
      <c r="A23" s="8" t="s">
        <v>125</v>
      </c>
      <c r="B23" s="8" t="s">
        <v>126</v>
      </c>
      <c r="C23" s="9">
        <v>0.0</v>
      </c>
      <c r="D23" s="10">
        <v>0.0</v>
      </c>
      <c r="E23" s="10">
        <v>12.0</v>
      </c>
      <c r="F23" s="10">
        <v>10.0</v>
      </c>
      <c r="G23" s="10">
        <v>0.0</v>
      </c>
      <c r="H23" s="18">
        <f t="shared" si="1"/>
        <v>7.33</v>
      </c>
      <c r="I23" s="10">
        <v>8.5</v>
      </c>
      <c r="J23" s="10">
        <v>3.0</v>
      </c>
      <c r="K23" s="18">
        <f t="shared" si="2"/>
        <v>18.83</v>
      </c>
      <c r="L23" s="22">
        <v>2.42</v>
      </c>
      <c r="M23" s="24">
        <f t="shared" si="3"/>
        <v>21.25</v>
      </c>
      <c r="N23" s="27">
        <f t="shared" si="4"/>
        <v>21</v>
      </c>
      <c r="O23" s="35" t="str">
        <f t="shared" si="5"/>
        <v>F</v>
      </c>
    </row>
    <row r="24">
      <c r="A24" s="8" t="s">
        <v>120</v>
      </c>
      <c r="B24" s="8" t="s">
        <v>121</v>
      </c>
      <c r="C24" s="9">
        <v>0.0</v>
      </c>
      <c r="D24" s="10">
        <v>10.0</v>
      </c>
      <c r="E24" s="10">
        <v>10.0</v>
      </c>
      <c r="F24" s="10">
        <v>20.0</v>
      </c>
      <c r="G24" s="10">
        <v>0.0</v>
      </c>
      <c r="H24" s="18">
        <f t="shared" si="1"/>
        <v>13.33</v>
      </c>
      <c r="I24" s="10">
        <v>10.0</v>
      </c>
      <c r="J24" s="10">
        <v>11.0</v>
      </c>
      <c r="K24" s="18">
        <f t="shared" si="2"/>
        <v>34.33</v>
      </c>
      <c r="L24" s="22">
        <v>16.51</v>
      </c>
      <c r="M24" s="24">
        <f t="shared" si="3"/>
        <v>50.84</v>
      </c>
      <c r="N24" s="27">
        <f t="shared" si="4"/>
        <v>51</v>
      </c>
      <c r="O24" s="35" t="str">
        <f t="shared" si="5"/>
        <v>D-</v>
      </c>
    </row>
    <row r="25">
      <c r="A25" s="8" t="s">
        <v>116</v>
      </c>
      <c r="B25" s="8" t="s">
        <v>117</v>
      </c>
      <c r="C25" s="9">
        <v>18.0</v>
      </c>
      <c r="D25" s="10">
        <v>0.0</v>
      </c>
      <c r="E25" s="10">
        <v>19.0</v>
      </c>
      <c r="F25" s="10">
        <v>18.0</v>
      </c>
      <c r="G25" s="10">
        <v>5.0</v>
      </c>
      <c r="H25" s="18">
        <f t="shared" si="1"/>
        <v>18.33</v>
      </c>
      <c r="I25" s="10">
        <v>14.0</v>
      </c>
      <c r="J25" s="10">
        <v>3.0</v>
      </c>
      <c r="K25" s="18">
        <f t="shared" si="2"/>
        <v>35.33</v>
      </c>
      <c r="L25" s="22">
        <v>14.29</v>
      </c>
      <c r="M25" s="24">
        <f t="shared" si="3"/>
        <v>49.62</v>
      </c>
      <c r="N25" s="27">
        <f t="shared" si="4"/>
        <v>50</v>
      </c>
      <c r="O25" s="35" t="str">
        <f t="shared" si="5"/>
        <v>D-</v>
      </c>
    </row>
    <row r="26">
      <c r="A26" s="8" t="s">
        <v>114</v>
      </c>
      <c r="B26" s="8" t="s">
        <v>115</v>
      </c>
      <c r="C26" s="9">
        <v>0.0</v>
      </c>
      <c r="D26" s="18"/>
      <c r="E26" s="18"/>
      <c r="F26" s="18"/>
      <c r="G26" s="18"/>
      <c r="H26" s="18" t="str">
        <f t="shared" si="1"/>
        <v/>
      </c>
      <c r="I26" s="18"/>
      <c r="J26" s="18"/>
      <c r="K26" s="18">
        <f t="shared" si="2"/>
        <v>0</v>
      </c>
      <c r="L26" s="22">
        <v>0.0</v>
      </c>
      <c r="M26" s="24">
        <f t="shared" si="3"/>
        <v>0</v>
      </c>
      <c r="N26" s="27">
        <f t="shared" si="4"/>
        <v>0</v>
      </c>
      <c r="O26" s="35" t="str">
        <f t="shared" si="5"/>
        <v>F</v>
      </c>
    </row>
    <row r="27">
      <c r="A27" s="8" t="s">
        <v>104</v>
      </c>
      <c r="B27" s="8" t="s">
        <v>105</v>
      </c>
      <c r="C27" s="9">
        <v>11.0</v>
      </c>
      <c r="D27" s="10">
        <v>0.0</v>
      </c>
      <c r="E27" s="10">
        <v>0.0</v>
      </c>
      <c r="F27" s="10">
        <v>14.0</v>
      </c>
      <c r="G27" s="10">
        <v>0.0</v>
      </c>
      <c r="H27" s="18">
        <f t="shared" si="1"/>
        <v>8.33</v>
      </c>
      <c r="I27" s="10">
        <v>15.5</v>
      </c>
      <c r="J27" s="10">
        <v>0.0</v>
      </c>
      <c r="K27" s="18">
        <f t="shared" si="2"/>
        <v>23.83</v>
      </c>
      <c r="L27" s="22">
        <v>7.91</v>
      </c>
      <c r="M27" s="24">
        <f t="shared" si="3"/>
        <v>31.74</v>
      </c>
      <c r="N27" s="27">
        <f t="shared" si="4"/>
        <v>32</v>
      </c>
      <c r="O27" s="35" t="str">
        <f t="shared" si="5"/>
        <v>F</v>
      </c>
    </row>
    <row r="28">
      <c r="A28" s="8" t="s">
        <v>168</v>
      </c>
      <c r="B28" s="8" t="s">
        <v>169</v>
      </c>
      <c r="C28" s="9">
        <v>20.0</v>
      </c>
      <c r="D28" s="10">
        <v>0.0</v>
      </c>
      <c r="E28" s="10">
        <v>0.0</v>
      </c>
      <c r="F28" s="10">
        <v>0.0</v>
      </c>
      <c r="G28" s="10">
        <v>0.0</v>
      </c>
      <c r="H28" s="18">
        <f t="shared" si="1"/>
        <v>6.67</v>
      </c>
      <c r="I28" s="10">
        <v>12.0</v>
      </c>
      <c r="J28" s="10" t="s">
        <v>109</v>
      </c>
      <c r="K28" s="18">
        <f t="shared" si="2"/>
        <v>18.67</v>
      </c>
      <c r="L28" s="22">
        <v>15.22</v>
      </c>
      <c r="M28" s="24">
        <f t="shared" si="3"/>
        <v>33.89</v>
      </c>
      <c r="N28" s="27">
        <f t="shared" si="4"/>
        <v>34</v>
      </c>
      <c r="O28" s="35" t="str">
        <f t="shared" si="5"/>
        <v>F</v>
      </c>
    </row>
    <row r="29">
      <c r="A29" s="8" t="s">
        <v>102</v>
      </c>
      <c r="B29" s="8" t="s">
        <v>103</v>
      </c>
      <c r="C29" s="9">
        <v>20.0</v>
      </c>
      <c r="D29" s="10">
        <v>0.0</v>
      </c>
      <c r="E29" s="10">
        <v>17.0</v>
      </c>
      <c r="F29" s="10">
        <v>17.0</v>
      </c>
      <c r="G29" s="10">
        <v>0.0</v>
      </c>
      <c r="H29" s="18">
        <f t="shared" si="1"/>
        <v>18</v>
      </c>
      <c r="I29" s="10">
        <v>21.0</v>
      </c>
      <c r="J29" s="10">
        <v>18.0</v>
      </c>
      <c r="K29" s="18">
        <f t="shared" si="2"/>
        <v>57</v>
      </c>
      <c r="L29" s="22">
        <v>22.67</v>
      </c>
      <c r="M29" s="24">
        <f t="shared" si="3"/>
        <v>79.67</v>
      </c>
      <c r="N29" s="27">
        <f t="shared" si="4"/>
        <v>80</v>
      </c>
      <c r="O29" s="35" t="str">
        <f t="shared" si="5"/>
        <v>B+</v>
      </c>
    </row>
    <row r="30">
      <c r="A30" s="8" t="s">
        <v>98</v>
      </c>
      <c r="B30" s="8" t="s">
        <v>99</v>
      </c>
      <c r="C30" s="9">
        <v>20.0</v>
      </c>
      <c r="D30" s="10">
        <v>10.0</v>
      </c>
      <c r="E30" s="10">
        <v>19.0</v>
      </c>
      <c r="F30" s="10">
        <v>13.0</v>
      </c>
      <c r="G30" s="10">
        <v>7.5</v>
      </c>
      <c r="H30" s="18">
        <f t="shared" si="1"/>
        <v>17.33</v>
      </c>
      <c r="I30" s="10">
        <v>12.0</v>
      </c>
      <c r="J30" s="10">
        <v>16.75</v>
      </c>
      <c r="K30" s="18">
        <f t="shared" si="2"/>
        <v>46.08</v>
      </c>
      <c r="L30" s="22">
        <v>18.61</v>
      </c>
      <c r="M30" s="24">
        <f t="shared" si="3"/>
        <v>64.69</v>
      </c>
      <c r="N30" s="27">
        <f t="shared" si="4"/>
        <v>65</v>
      </c>
      <c r="O30" s="35" t="str">
        <f t="shared" si="5"/>
        <v>C+</v>
      </c>
    </row>
    <row r="31">
      <c r="A31" s="8" t="s">
        <v>171</v>
      </c>
      <c r="B31" s="8" t="s">
        <v>172</v>
      </c>
      <c r="C31" s="9">
        <v>0.0</v>
      </c>
      <c r="D31" s="18"/>
      <c r="E31" s="18"/>
      <c r="F31" s="18"/>
      <c r="G31" s="18"/>
      <c r="H31" s="18" t="str">
        <f t="shared" si="1"/>
        <v/>
      </c>
      <c r="I31" s="18"/>
      <c r="J31" s="18"/>
      <c r="K31" s="18">
        <f t="shared" si="2"/>
        <v>0</v>
      </c>
      <c r="L31" s="22">
        <v>0.0</v>
      </c>
      <c r="M31" s="24">
        <f t="shared" si="3"/>
        <v>0</v>
      </c>
      <c r="N31" s="27">
        <f t="shared" si="4"/>
        <v>0</v>
      </c>
      <c r="O31" s="35" t="str">
        <f t="shared" si="5"/>
        <v>F</v>
      </c>
    </row>
    <row r="32">
      <c r="A32" s="8" t="s">
        <v>94</v>
      </c>
      <c r="B32" s="8" t="s">
        <v>95</v>
      </c>
      <c r="C32" s="9">
        <v>20.0</v>
      </c>
      <c r="D32" s="10">
        <v>10.0</v>
      </c>
      <c r="E32" s="10">
        <v>5.0</v>
      </c>
      <c r="F32" s="10">
        <v>0.0</v>
      </c>
      <c r="G32" s="10">
        <v>5.0</v>
      </c>
      <c r="H32" s="18">
        <f t="shared" si="1"/>
        <v>11.67</v>
      </c>
      <c r="I32" s="10">
        <v>9.0</v>
      </c>
      <c r="J32" s="10">
        <v>5.0</v>
      </c>
      <c r="K32" s="18">
        <f t="shared" si="2"/>
        <v>25.67</v>
      </c>
      <c r="L32" s="22">
        <v>12.0</v>
      </c>
      <c r="M32" s="24">
        <f t="shared" si="3"/>
        <v>37.67</v>
      </c>
      <c r="N32" s="27">
        <f t="shared" si="4"/>
        <v>38</v>
      </c>
      <c r="O32" s="35" t="str">
        <f t="shared" si="5"/>
        <v>F</v>
      </c>
    </row>
    <row r="33">
      <c r="A33" s="8" t="s">
        <v>84</v>
      </c>
      <c r="B33" s="8" t="s">
        <v>85</v>
      </c>
      <c r="C33" s="9">
        <v>5.0</v>
      </c>
      <c r="D33" s="10">
        <v>11.0</v>
      </c>
      <c r="E33" s="10">
        <v>0.0</v>
      </c>
      <c r="F33" s="10">
        <v>12.0</v>
      </c>
      <c r="G33" s="10">
        <v>0.0</v>
      </c>
      <c r="H33" s="18">
        <f t="shared" si="1"/>
        <v>9.33</v>
      </c>
      <c r="I33" s="10">
        <v>17.0</v>
      </c>
      <c r="J33" s="10">
        <v>13.0</v>
      </c>
      <c r="K33" s="18">
        <f t="shared" si="2"/>
        <v>39.33</v>
      </c>
      <c r="L33" s="22">
        <v>17.4</v>
      </c>
      <c r="M33" s="24">
        <f t="shared" si="3"/>
        <v>56.73</v>
      </c>
      <c r="N33" s="27">
        <f t="shared" si="4"/>
        <v>57</v>
      </c>
      <c r="O33" s="35" t="str">
        <f t="shared" si="5"/>
        <v>C-</v>
      </c>
    </row>
    <row r="34">
      <c r="A34" s="8" t="s">
        <v>70</v>
      </c>
      <c r="B34" s="77" t="s">
        <v>71</v>
      </c>
      <c r="C34" s="9">
        <v>20.0</v>
      </c>
      <c r="D34" s="10">
        <v>13.0</v>
      </c>
      <c r="E34" s="10">
        <v>12.0</v>
      </c>
      <c r="F34" s="10">
        <v>20.0</v>
      </c>
      <c r="G34" s="10">
        <v>0.0</v>
      </c>
      <c r="H34" s="18">
        <f t="shared" si="1"/>
        <v>17.67</v>
      </c>
      <c r="I34" s="10">
        <v>14.0</v>
      </c>
      <c r="J34" s="10">
        <v>16.75</v>
      </c>
      <c r="K34" s="18">
        <f t="shared" si="2"/>
        <v>48.42</v>
      </c>
      <c r="L34" s="22">
        <v>16.43</v>
      </c>
      <c r="M34" s="24">
        <f t="shared" si="3"/>
        <v>64.85</v>
      </c>
      <c r="N34" s="27">
        <f t="shared" si="4"/>
        <v>65</v>
      </c>
      <c r="O34" s="35" t="str">
        <f t="shared" si="5"/>
        <v>C+</v>
      </c>
    </row>
    <row r="35">
      <c r="A35" s="8" t="s">
        <v>61</v>
      </c>
      <c r="B35" s="8" t="s">
        <v>62</v>
      </c>
      <c r="C35" s="9">
        <v>0.0</v>
      </c>
      <c r="D35" s="10">
        <v>19.0</v>
      </c>
      <c r="E35" s="10">
        <v>12.0</v>
      </c>
      <c r="F35" s="10">
        <v>18.0</v>
      </c>
      <c r="G35" s="10">
        <v>0.0</v>
      </c>
      <c r="H35" s="18">
        <f t="shared" si="1"/>
        <v>16.33</v>
      </c>
      <c r="I35" s="10">
        <v>4.5</v>
      </c>
      <c r="J35" s="10">
        <v>7.5</v>
      </c>
      <c r="K35" s="18">
        <f t="shared" si="2"/>
        <v>28.33</v>
      </c>
      <c r="L35" s="22">
        <v>12.0</v>
      </c>
      <c r="M35" s="24">
        <f t="shared" si="3"/>
        <v>40.33</v>
      </c>
      <c r="N35" s="27">
        <f t="shared" si="4"/>
        <v>40</v>
      </c>
      <c r="O35" s="35" t="str">
        <f t="shared" si="5"/>
        <v>F</v>
      </c>
    </row>
    <row r="36">
      <c r="A36" s="8" t="s">
        <v>51</v>
      </c>
      <c r="B36" s="8" t="s">
        <v>52</v>
      </c>
      <c r="C36" s="9">
        <v>20.0</v>
      </c>
      <c r="D36" s="10">
        <v>20.0</v>
      </c>
      <c r="E36" s="10">
        <v>20.0</v>
      </c>
      <c r="F36" s="10">
        <v>16.0</v>
      </c>
      <c r="G36" s="10">
        <v>19.0</v>
      </c>
      <c r="H36" s="18">
        <f t="shared" si="1"/>
        <v>20</v>
      </c>
      <c r="I36" s="10">
        <v>21.75</v>
      </c>
      <c r="J36" s="10">
        <v>21.0</v>
      </c>
      <c r="K36" s="18">
        <f t="shared" si="2"/>
        <v>62.75</v>
      </c>
      <c r="L36" s="22">
        <v>23.67</v>
      </c>
      <c r="M36" s="24">
        <f t="shared" si="3"/>
        <v>86.42</v>
      </c>
      <c r="N36" s="27">
        <f t="shared" si="4"/>
        <v>86</v>
      </c>
      <c r="O36" s="35" t="str">
        <f t="shared" si="5"/>
        <v>A-</v>
      </c>
    </row>
  </sheetData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75"/>
  <cols>
    <col customWidth="1" min="1" max="1" width="4.0"/>
    <col customWidth="1" min="2" max="2" width="14.63"/>
    <col customWidth="1" min="3" max="4" width="33.25"/>
    <col customWidth="1" min="5" max="5" width="8.88"/>
    <col customWidth="1" min="7" max="10" width="10.88"/>
    <col customWidth="1" min="11" max="26" width="11.0"/>
    <col customWidth="1" min="29" max="29" width="12.75"/>
  </cols>
  <sheetData>
    <row r="1" ht="24.0" customHeight="1">
      <c r="A1" s="11"/>
      <c r="B1" s="12" t="s">
        <v>38</v>
      </c>
      <c r="C1" s="13" t="s">
        <v>43</v>
      </c>
    </row>
    <row r="2">
      <c r="A2" s="11"/>
      <c r="B2" s="14" t="s">
        <v>47</v>
      </c>
      <c r="C2" s="13" t="s">
        <v>49</v>
      </c>
    </row>
    <row r="3">
      <c r="A3" s="15"/>
      <c r="B3" s="14" t="s">
        <v>53</v>
      </c>
      <c r="C3" s="13">
        <v>20.0</v>
      </c>
    </row>
    <row r="4">
      <c r="A4" s="17" t="s">
        <v>56</v>
      </c>
      <c r="B4" s="17" t="s">
        <v>58</v>
      </c>
      <c r="C4" s="19" t="s">
        <v>1</v>
      </c>
      <c r="D4" s="21" t="s">
        <v>60</v>
      </c>
      <c r="E4" s="23" t="s">
        <v>64</v>
      </c>
      <c r="F4" s="25" t="s">
        <v>65</v>
      </c>
      <c r="G4" s="26" t="s">
        <v>66</v>
      </c>
      <c r="H4" s="28" t="s">
        <v>67</v>
      </c>
      <c r="I4" s="26" t="s">
        <v>68</v>
      </c>
      <c r="J4" s="28" t="s">
        <v>69</v>
      </c>
      <c r="K4" s="26" t="s">
        <v>72</v>
      </c>
      <c r="L4" s="28" t="s">
        <v>73</v>
      </c>
      <c r="M4" s="26" t="s">
        <v>74</v>
      </c>
      <c r="N4" s="28" t="s">
        <v>75</v>
      </c>
      <c r="O4" s="26" t="s">
        <v>76</v>
      </c>
      <c r="P4" s="28" t="s">
        <v>77</v>
      </c>
      <c r="Q4" s="26" t="s">
        <v>78</v>
      </c>
      <c r="R4" s="28" t="s">
        <v>79</v>
      </c>
      <c r="S4" s="26" t="s">
        <v>80</v>
      </c>
      <c r="T4" s="28" t="s">
        <v>81</v>
      </c>
      <c r="U4" s="26" t="s">
        <v>82</v>
      </c>
      <c r="V4" s="28" t="s">
        <v>83</v>
      </c>
      <c r="W4" s="26" t="s">
        <v>86</v>
      </c>
      <c r="X4" s="28" t="s">
        <v>87</v>
      </c>
      <c r="Y4" s="26" t="s">
        <v>88</v>
      </c>
      <c r="Z4" s="28" t="s">
        <v>89</v>
      </c>
      <c r="AA4" s="26" t="s">
        <v>90</v>
      </c>
      <c r="AB4" s="28" t="s">
        <v>91</v>
      </c>
      <c r="AC4" s="31" t="s">
        <v>92</v>
      </c>
      <c r="AD4" s="28" t="s">
        <v>93</v>
      </c>
      <c r="AE4" s="31" t="s">
        <v>96</v>
      </c>
      <c r="AF4" s="28" t="s">
        <v>97</v>
      </c>
    </row>
    <row r="5">
      <c r="A5" s="32"/>
      <c r="B5" s="32"/>
      <c r="C5" s="33"/>
      <c r="D5" s="33"/>
      <c r="E5" s="34"/>
      <c r="F5" s="33"/>
      <c r="G5" s="36">
        <v>46188.0</v>
      </c>
      <c r="H5" s="37">
        <v>46190.0</v>
      </c>
      <c r="I5" s="37">
        <v>46195.0</v>
      </c>
      <c r="J5" s="37">
        <v>46197.0</v>
      </c>
      <c r="K5" s="37">
        <v>46202.0</v>
      </c>
      <c r="L5" s="37">
        <v>46204.0</v>
      </c>
      <c r="M5" s="37">
        <v>46209.0</v>
      </c>
      <c r="N5" s="37">
        <v>46211.0</v>
      </c>
      <c r="O5" s="37">
        <v>46216.0</v>
      </c>
      <c r="P5" s="40">
        <v>46218.0</v>
      </c>
      <c r="Q5" s="37">
        <v>46223.0</v>
      </c>
      <c r="R5" s="37">
        <v>46225.0</v>
      </c>
      <c r="S5" s="37">
        <v>46237.0</v>
      </c>
      <c r="T5" s="37">
        <v>46243.0</v>
      </c>
      <c r="U5" s="37">
        <v>46244.0</v>
      </c>
      <c r="V5" s="40">
        <v>46246.0</v>
      </c>
      <c r="W5" s="37">
        <v>46251.0</v>
      </c>
      <c r="X5" s="37">
        <v>46253.0</v>
      </c>
      <c r="Y5" s="37">
        <v>46258.0</v>
      </c>
      <c r="Z5" s="37">
        <v>46265.0</v>
      </c>
      <c r="AA5" s="37">
        <v>46267.0</v>
      </c>
      <c r="AB5" s="40">
        <v>46272.0</v>
      </c>
      <c r="AC5" s="43"/>
      <c r="AD5" s="43"/>
      <c r="AE5" s="43"/>
      <c r="AF5" s="43"/>
    </row>
    <row r="6">
      <c r="A6" s="44"/>
      <c r="B6" s="45"/>
      <c r="C6" s="46"/>
      <c r="D6" s="46"/>
      <c r="E6" s="47"/>
      <c r="F6" s="46"/>
      <c r="G6" s="48" t="s">
        <v>124</v>
      </c>
      <c r="H6" s="49" t="s">
        <v>124</v>
      </c>
      <c r="I6" s="49" t="s">
        <v>124</v>
      </c>
      <c r="J6" s="49" t="s">
        <v>124</v>
      </c>
      <c r="K6" s="49" t="s">
        <v>124</v>
      </c>
      <c r="L6" s="49" t="s">
        <v>124</v>
      </c>
      <c r="M6" s="49" t="s">
        <v>124</v>
      </c>
      <c r="N6" s="49" t="s">
        <v>124</v>
      </c>
      <c r="O6" s="49" t="s">
        <v>124</v>
      </c>
      <c r="P6" s="50" t="s">
        <v>124</v>
      </c>
      <c r="Q6" s="49" t="s">
        <v>124</v>
      </c>
      <c r="R6" s="49" t="s">
        <v>124</v>
      </c>
      <c r="S6" s="49" t="s">
        <v>124</v>
      </c>
      <c r="T6" s="49" t="s">
        <v>124</v>
      </c>
      <c r="U6" s="49" t="s">
        <v>124</v>
      </c>
      <c r="V6" s="50" t="s">
        <v>124</v>
      </c>
      <c r="W6" s="49" t="s">
        <v>124</v>
      </c>
      <c r="X6" s="49" t="s">
        <v>124</v>
      </c>
      <c r="Y6" s="49" t="s">
        <v>124</v>
      </c>
      <c r="Z6" s="49" t="s">
        <v>124</v>
      </c>
      <c r="AA6" s="49" t="s">
        <v>124</v>
      </c>
      <c r="AB6" s="50" t="s">
        <v>124</v>
      </c>
      <c r="AC6" s="50" t="s">
        <v>124</v>
      </c>
      <c r="AD6" s="50" t="s">
        <v>124</v>
      </c>
      <c r="AE6" s="50" t="s">
        <v>124</v>
      </c>
      <c r="AF6" s="50" t="s">
        <v>124</v>
      </c>
    </row>
    <row r="7">
      <c r="A7" s="51">
        <v>18.0</v>
      </c>
      <c r="B7" s="52" t="s">
        <v>51</v>
      </c>
      <c r="C7" s="52" t="s">
        <v>52</v>
      </c>
      <c r="D7" s="52" t="s">
        <v>137</v>
      </c>
      <c r="E7" s="53">
        <f t="shared" ref="E7:E15" si="1">countif(G7:AF7,0)</f>
        <v>6</v>
      </c>
      <c r="F7" s="54" t="str">
        <f t="shared" ref="F7:F15" si="2">IF($E7&gt;7,"BARRED",IF($E7=7,"WARNING","OKAY"))</f>
        <v>OKAY</v>
      </c>
      <c r="G7" s="55">
        <v>1.0</v>
      </c>
      <c r="H7" s="55">
        <v>1.0</v>
      </c>
      <c r="I7" s="55">
        <v>1.0</v>
      </c>
      <c r="J7" s="56">
        <v>1.0</v>
      </c>
      <c r="K7" s="56">
        <v>1.0</v>
      </c>
      <c r="L7" s="57">
        <v>1.0</v>
      </c>
      <c r="M7" s="56">
        <v>1.0</v>
      </c>
      <c r="N7" s="57">
        <v>1.0</v>
      </c>
      <c r="O7" s="57">
        <v>1.0</v>
      </c>
      <c r="P7" s="57">
        <v>0.0</v>
      </c>
      <c r="Q7" s="57">
        <v>0.0</v>
      </c>
      <c r="R7" s="56">
        <v>1.0</v>
      </c>
      <c r="S7" s="57">
        <v>0.0</v>
      </c>
      <c r="T7" s="56">
        <v>1.0</v>
      </c>
      <c r="U7" s="56">
        <v>1.0</v>
      </c>
      <c r="V7" s="55">
        <v>0.0</v>
      </c>
      <c r="W7" s="55">
        <v>0.0</v>
      </c>
      <c r="X7" s="55">
        <v>0.0</v>
      </c>
      <c r="Y7" s="55">
        <v>1.0</v>
      </c>
      <c r="Z7" s="55">
        <v>1.0</v>
      </c>
      <c r="AA7" s="51">
        <v>1.0</v>
      </c>
      <c r="AB7" s="51">
        <v>1.0</v>
      </c>
      <c r="AC7" s="58"/>
      <c r="AD7" s="59"/>
      <c r="AE7" s="59"/>
      <c r="AF7" s="59"/>
      <c r="AG7" s="60"/>
      <c r="AH7" s="60"/>
      <c r="AI7" s="60"/>
      <c r="AJ7" s="60"/>
    </row>
    <row r="8">
      <c r="A8" s="61">
        <v>10.0</v>
      </c>
      <c r="B8" s="52" t="s">
        <v>61</v>
      </c>
      <c r="C8" s="52" t="s">
        <v>62</v>
      </c>
      <c r="D8" s="52" t="s">
        <v>158</v>
      </c>
      <c r="E8" s="62">
        <f t="shared" si="1"/>
        <v>6</v>
      </c>
      <c r="F8" s="63" t="str">
        <f t="shared" si="2"/>
        <v>OKAY</v>
      </c>
      <c r="G8" s="64">
        <v>1.0</v>
      </c>
      <c r="H8" s="64">
        <v>1.0</v>
      </c>
      <c r="I8" s="64">
        <v>1.0</v>
      </c>
      <c r="J8" s="65">
        <v>1.0</v>
      </c>
      <c r="K8" s="66">
        <v>1.0</v>
      </c>
      <c r="L8" s="65">
        <v>1.0</v>
      </c>
      <c r="M8" s="66">
        <v>1.0</v>
      </c>
      <c r="N8" s="65">
        <v>1.0</v>
      </c>
      <c r="O8" s="65">
        <v>1.0</v>
      </c>
      <c r="P8" s="65">
        <v>0.0</v>
      </c>
      <c r="Q8" s="65">
        <v>0.0</v>
      </c>
      <c r="R8" s="66">
        <v>1.0</v>
      </c>
      <c r="S8" s="66">
        <v>1.0</v>
      </c>
      <c r="T8" s="65">
        <v>0.0</v>
      </c>
      <c r="U8" s="66">
        <v>1.0</v>
      </c>
      <c r="V8" s="64">
        <v>0.0</v>
      </c>
      <c r="W8" s="64">
        <v>1.0</v>
      </c>
      <c r="X8" s="64">
        <v>0.0</v>
      </c>
      <c r="Y8" s="64">
        <v>1.0</v>
      </c>
      <c r="Z8" s="64">
        <v>0.0</v>
      </c>
      <c r="AA8" s="61">
        <v>1.0</v>
      </c>
      <c r="AB8" s="61">
        <v>1.0</v>
      </c>
      <c r="AC8" s="67"/>
      <c r="AD8" s="68"/>
      <c r="AE8" s="68"/>
      <c r="AF8" s="68"/>
      <c r="AG8" s="60"/>
      <c r="AH8" s="60"/>
      <c r="AI8" s="60"/>
      <c r="AJ8" s="60"/>
    </row>
    <row r="9">
      <c r="A9" s="51">
        <v>6.0</v>
      </c>
      <c r="B9" s="52" t="s">
        <v>70</v>
      </c>
      <c r="C9" s="52" t="s">
        <v>71</v>
      </c>
      <c r="D9" s="52" t="s">
        <v>159</v>
      </c>
      <c r="E9" s="53">
        <f t="shared" si="1"/>
        <v>6</v>
      </c>
      <c r="F9" s="54" t="str">
        <f t="shared" si="2"/>
        <v>OKAY</v>
      </c>
      <c r="G9" s="55">
        <v>1.0</v>
      </c>
      <c r="H9" s="55">
        <v>1.0</v>
      </c>
      <c r="I9" s="55">
        <v>1.0</v>
      </c>
      <c r="J9" s="57">
        <v>0.0</v>
      </c>
      <c r="K9" s="56">
        <v>1.0</v>
      </c>
      <c r="L9" s="56">
        <v>1.0</v>
      </c>
      <c r="M9" s="56">
        <v>1.0</v>
      </c>
      <c r="N9" s="57">
        <v>1.0</v>
      </c>
      <c r="O9" s="57">
        <v>1.0</v>
      </c>
      <c r="P9" s="57">
        <v>1.0</v>
      </c>
      <c r="Q9" s="57">
        <v>0.0</v>
      </c>
      <c r="R9" s="57">
        <v>0.0</v>
      </c>
      <c r="S9" s="56">
        <v>1.0</v>
      </c>
      <c r="T9" s="57">
        <v>0.0</v>
      </c>
      <c r="U9" s="56">
        <v>1.0</v>
      </c>
      <c r="V9" s="55">
        <v>1.0</v>
      </c>
      <c r="W9" s="55">
        <v>0.0</v>
      </c>
      <c r="X9" s="55">
        <v>0.0</v>
      </c>
      <c r="Y9" s="55">
        <v>1.0</v>
      </c>
      <c r="Z9" s="55">
        <v>1.0</v>
      </c>
      <c r="AA9" s="51">
        <v>1.0</v>
      </c>
      <c r="AB9" s="51">
        <v>1.0</v>
      </c>
      <c r="AC9" s="58"/>
      <c r="AD9" s="59"/>
      <c r="AE9" s="59"/>
      <c r="AF9" s="59"/>
      <c r="AG9" s="60"/>
      <c r="AH9" s="60"/>
      <c r="AI9" s="60"/>
      <c r="AJ9" s="60"/>
    </row>
    <row r="10">
      <c r="A10" s="61">
        <v>7.0</v>
      </c>
      <c r="B10" s="52" t="s">
        <v>84</v>
      </c>
      <c r="C10" s="52" t="s">
        <v>85</v>
      </c>
      <c r="D10" s="52" t="s">
        <v>160</v>
      </c>
      <c r="E10" s="62">
        <f t="shared" si="1"/>
        <v>5</v>
      </c>
      <c r="F10" s="63" t="str">
        <f t="shared" si="2"/>
        <v>OKAY</v>
      </c>
      <c r="G10" s="64">
        <v>1.0</v>
      </c>
      <c r="H10" s="64">
        <v>1.0</v>
      </c>
      <c r="I10" s="64">
        <v>1.0</v>
      </c>
      <c r="J10" s="66">
        <v>1.0</v>
      </c>
      <c r="K10" s="66">
        <v>1.0</v>
      </c>
      <c r="L10" s="65">
        <v>1.0</v>
      </c>
      <c r="M10" s="66">
        <v>1.0</v>
      </c>
      <c r="N10" s="65">
        <v>1.0</v>
      </c>
      <c r="O10" s="65">
        <v>1.0</v>
      </c>
      <c r="P10" s="65">
        <v>1.0</v>
      </c>
      <c r="Q10" s="66">
        <v>1.0</v>
      </c>
      <c r="R10" s="66">
        <v>1.0</v>
      </c>
      <c r="S10" s="65">
        <v>1.0</v>
      </c>
      <c r="T10" s="65">
        <v>0.0</v>
      </c>
      <c r="U10" s="66">
        <v>1.0</v>
      </c>
      <c r="V10" s="64">
        <v>0.0</v>
      </c>
      <c r="W10" s="64">
        <v>0.0</v>
      </c>
      <c r="X10" s="64">
        <v>0.0</v>
      </c>
      <c r="Y10" s="64">
        <v>0.0</v>
      </c>
      <c r="Z10" s="64">
        <v>1.0</v>
      </c>
      <c r="AA10" s="61">
        <v>1.0</v>
      </c>
      <c r="AB10" s="61">
        <v>1.0</v>
      </c>
      <c r="AC10" s="67"/>
      <c r="AD10" s="68"/>
      <c r="AE10" s="68"/>
      <c r="AF10" s="68"/>
      <c r="AG10" s="60"/>
      <c r="AH10" s="60"/>
      <c r="AI10" s="60"/>
      <c r="AJ10" s="60"/>
    </row>
    <row r="11">
      <c r="A11" s="51">
        <v>8.0</v>
      </c>
      <c r="B11" s="52" t="s">
        <v>94</v>
      </c>
      <c r="C11" s="52" t="s">
        <v>95</v>
      </c>
      <c r="D11" s="52" t="s">
        <v>162</v>
      </c>
      <c r="E11" s="53">
        <f t="shared" si="1"/>
        <v>5</v>
      </c>
      <c r="F11" s="54" t="str">
        <f t="shared" si="2"/>
        <v>OKAY</v>
      </c>
      <c r="G11" s="55">
        <v>1.0</v>
      </c>
      <c r="H11" s="55">
        <v>1.0</v>
      </c>
      <c r="I11" s="55">
        <v>1.0</v>
      </c>
      <c r="J11" s="57">
        <v>1.0</v>
      </c>
      <c r="K11" s="56">
        <v>1.0</v>
      </c>
      <c r="L11" s="56">
        <v>1.0</v>
      </c>
      <c r="M11" s="56">
        <v>1.0</v>
      </c>
      <c r="N11" s="57">
        <v>1.0</v>
      </c>
      <c r="O11" s="57">
        <v>1.0</v>
      </c>
      <c r="P11" s="57">
        <v>1.0</v>
      </c>
      <c r="Q11" s="56">
        <v>1.0</v>
      </c>
      <c r="R11" s="56">
        <v>1.0</v>
      </c>
      <c r="S11" s="57">
        <v>0.0</v>
      </c>
      <c r="T11" s="57">
        <v>0.0</v>
      </c>
      <c r="U11" s="56">
        <v>1.0</v>
      </c>
      <c r="V11" s="55">
        <v>0.0</v>
      </c>
      <c r="W11" s="55">
        <v>1.0</v>
      </c>
      <c r="X11" s="55">
        <v>0.0</v>
      </c>
      <c r="Y11" s="55">
        <v>1.0</v>
      </c>
      <c r="Z11" s="55">
        <v>0.0</v>
      </c>
      <c r="AA11" s="51">
        <v>1.0</v>
      </c>
      <c r="AB11" s="51">
        <v>1.0</v>
      </c>
      <c r="AC11" s="58"/>
      <c r="AD11" s="59"/>
      <c r="AE11" s="59"/>
      <c r="AF11" s="59"/>
      <c r="AG11" s="60"/>
      <c r="AH11" s="60"/>
      <c r="AI11" s="60"/>
      <c r="AJ11" s="60"/>
    </row>
    <row r="12">
      <c r="A12" s="61">
        <v>12.0</v>
      </c>
      <c r="B12" s="70" t="s">
        <v>98</v>
      </c>
      <c r="C12" s="52" t="s">
        <v>99</v>
      </c>
      <c r="D12" s="52" t="s">
        <v>164</v>
      </c>
      <c r="E12" s="62">
        <f t="shared" si="1"/>
        <v>3</v>
      </c>
      <c r="F12" s="63" t="str">
        <f t="shared" si="2"/>
        <v>OKAY</v>
      </c>
      <c r="G12" s="64">
        <v>1.0</v>
      </c>
      <c r="H12" s="64">
        <v>1.0</v>
      </c>
      <c r="I12" s="64">
        <v>1.0</v>
      </c>
      <c r="J12" s="65">
        <v>0.0</v>
      </c>
      <c r="K12" s="66">
        <v>1.0</v>
      </c>
      <c r="L12" s="65">
        <v>0.0</v>
      </c>
      <c r="M12" s="66">
        <v>1.0</v>
      </c>
      <c r="N12" s="65">
        <v>0.0</v>
      </c>
      <c r="O12" s="65">
        <v>1.0</v>
      </c>
      <c r="P12" s="66">
        <v>1.0</v>
      </c>
      <c r="Q12" s="66">
        <v>1.0</v>
      </c>
      <c r="R12" s="66">
        <v>1.0</v>
      </c>
      <c r="S12" s="66">
        <v>1.0</v>
      </c>
      <c r="T12" s="66">
        <v>1.0</v>
      </c>
      <c r="U12" s="66">
        <v>1.0</v>
      </c>
      <c r="V12" s="64">
        <v>1.0</v>
      </c>
      <c r="W12" s="64">
        <v>1.0</v>
      </c>
      <c r="X12" s="64">
        <v>1.0</v>
      </c>
      <c r="Y12" s="64">
        <v>1.0</v>
      </c>
      <c r="Z12" s="64">
        <v>1.0</v>
      </c>
      <c r="AA12" s="61">
        <v>1.0</v>
      </c>
      <c r="AB12" s="61">
        <v>1.0</v>
      </c>
      <c r="AC12" s="67"/>
      <c r="AD12" s="68"/>
      <c r="AE12" s="68"/>
      <c r="AF12" s="68"/>
      <c r="AG12" s="60"/>
      <c r="AH12" s="60"/>
      <c r="AI12" s="60"/>
      <c r="AJ12" s="60"/>
    </row>
    <row r="13">
      <c r="A13" s="51">
        <v>13.0</v>
      </c>
      <c r="B13" s="52" t="s">
        <v>102</v>
      </c>
      <c r="C13" s="52" t="s">
        <v>103</v>
      </c>
      <c r="D13" s="52" t="s">
        <v>166</v>
      </c>
      <c r="E13" s="53">
        <f t="shared" si="1"/>
        <v>6</v>
      </c>
      <c r="F13" s="54" t="str">
        <f t="shared" si="2"/>
        <v>OKAY</v>
      </c>
      <c r="G13" s="55">
        <v>1.0</v>
      </c>
      <c r="H13" s="55">
        <v>1.0</v>
      </c>
      <c r="I13" s="55">
        <v>1.0</v>
      </c>
      <c r="J13" s="57">
        <v>1.0</v>
      </c>
      <c r="K13" s="56">
        <v>1.0</v>
      </c>
      <c r="L13" s="57">
        <v>1.0</v>
      </c>
      <c r="M13" s="56">
        <v>1.0</v>
      </c>
      <c r="N13" s="57">
        <v>1.0</v>
      </c>
      <c r="O13" s="57">
        <v>1.0</v>
      </c>
      <c r="P13" s="57">
        <v>1.0</v>
      </c>
      <c r="Q13" s="57">
        <v>0.0</v>
      </c>
      <c r="R13" s="57">
        <v>0.0</v>
      </c>
      <c r="S13" s="57">
        <v>0.0</v>
      </c>
      <c r="T13" s="57">
        <v>0.0</v>
      </c>
      <c r="U13" s="56">
        <v>1.0</v>
      </c>
      <c r="V13" s="55">
        <v>0.0</v>
      </c>
      <c r="W13" s="55">
        <v>0.0</v>
      </c>
      <c r="X13" s="55">
        <v>1.0</v>
      </c>
      <c r="Y13" s="55">
        <v>1.0</v>
      </c>
      <c r="Z13" s="55">
        <v>1.0</v>
      </c>
      <c r="AA13" s="51">
        <v>1.0</v>
      </c>
      <c r="AB13" s="51">
        <v>1.0</v>
      </c>
      <c r="AC13" s="58"/>
      <c r="AD13" s="59"/>
      <c r="AE13" s="59"/>
      <c r="AF13" s="59"/>
      <c r="AG13" s="60"/>
      <c r="AH13" s="60"/>
      <c r="AI13" s="60"/>
      <c r="AJ13" s="60"/>
    </row>
    <row r="14">
      <c r="A14" s="61">
        <v>15.0</v>
      </c>
      <c r="B14" s="52" t="s">
        <v>104</v>
      </c>
      <c r="C14" s="52" t="s">
        <v>105</v>
      </c>
      <c r="D14" s="52" t="s">
        <v>167</v>
      </c>
      <c r="E14" s="62">
        <f t="shared" si="1"/>
        <v>12</v>
      </c>
      <c r="F14" s="63" t="str">
        <f t="shared" si="2"/>
        <v>BARRED</v>
      </c>
      <c r="G14" s="64">
        <v>1.0</v>
      </c>
      <c r="H14" s="64">
        <v>1.0</v>
      </c>
      <c r="I14" s="64">
        <v>1.0</v>
      </c>
      <c r="J14" s="73">
        <v>0.0</v>
      </c>
      <c r="K14" s="66">
        <v>1.0</v>
      </c>
      <c r="L14" s="65">
        <v>0.0</v>
      </c>
      <c r="M14" s="65">
        <v>0.0</v>
      </c>
      <c r="N14" s="65">
        <v>0.0</v>
      </c>
      <c r="O14" s="65">
        <v>1.0</v>
      </c>
      <c r="P14" s="65">
        <v>0.0</v>
      </c>
      <c r="Q14" s="66">
        <v>1.0</v>
      </c>
      <c r="R14" s="65">
        <v>0.0</v>
      </c>
      <c r="S14" s="65">
        <v>0.0</v>
      </c>
      <c r="T14" s="65">
        <v>0.0</v>
      </c>
      <c r="U14" s="66">
        <v>1.0</v>
      </c>
      <c r="V14" s="64">
        <v>0.0</v>
      </c>
      <c r="W14" s="64">
        <v>0.0</v>
      </c>
      <c r="X14" s="64">
        <v>0.0</v>
      </c>
      <c r="Y14" s="64">
        <v>0.0</v>
      </c>
      <c r="Z14" s="64">
        <v>1.0</v>
      </c>
      <c r="AA14" s="61">
        <v>1.0</v>
      </c>
      <c r="AB14" s="61">
        <v>1.0</v>
      </c>
      <c r="AC14" s="67"/>
      <c r="AD14" s="68"/>
      <c r="AE14" s="68"/>
      <c r="AF14" s="68"/>
      <c r="AG14" s="60"/>
      <c r="AH14" s="60"/>
      <c r="AI14" s="60"/>
      <c r="AJ14" s="60"/>
    </row>
    <row r="15">
      <c r="A15" s="51">
        <v>16.0</v>
      </c>
      <c r="B15" s="52" t="s">
        <v>110</v>
      </c>
      <c r="C15" s="52" t="s">
        <v>111</v>
      </c>
      <c r="D15" s="52" t="s">
        <v>170</v>
      </c>
      <c r="E15" s="53">
        <f t="shared" si="1"/>
        <v>15</v>
      </c>
      <c r="F15" s="54" t="str">
        <f t="shared" si="2"/>
        <v>BARRED</v>
      </c>
      <c r="G15" s="55">
        <v>1.0</v>
      </c>
      <c r="H15" s="55">
        <v>1.0</v>
      </c>
      <c r="I15" s="55">
        <v>1.0</v>
      </c>
      <c r="J15" s="57">
        <v>0.0</v>
      </c>
      <c r="K15" s="57">
        <v>0.0</v>
      </c>
      <c r="L15" s="57">
        <v>0.0</v>
      </c>
      <c r="M15" s="57">
        <v>0.0</v>
      </c>
      <c r="N15" s="57">
        <v>0.0</v>
      </c>
      <c r="O15" s="57">
        <v>1.0</v>
      </c>
      <c r="P15" s="57">
        <v>0.0</v>
      </c>
      <c r="Q15" s="57">
        <v>0.0</v>
      </c>
      <c r="R15" s="57">
        <v>0.0</v>
      </c>
      <c r="S15" s="57">
        <v>0.0</v>
      </c>
      <c r="T15" s="57">
        <v>0.0</v>
      </c>
      <c r="U15" s="56">
        <v>1.0</v>
      </c>
      <c r="V15" s="55">
        <v>1.0</v>
      </c>
      <c r="W15" s="55">
        <v>0.0</v>
      </c>
      <c r="X15" s="55">
        <v>0.0</v>
      </c>
      <c r="Y15" s="55">
        <v>0.0</v>
      </c>
      <c r="Z15" s="55">
        <v>0.0</v>
      </c>
      <c r="AA15" s="51">
        <v>0.0</v>
      </c>
      <c r="AB15" s="51">
        <v>1.0</v>
      </c>
      <c r="AC15" s="58"/>
      <c r="AD15" s="59"/>
      <c r="AE15" s="59"/>
      <c r="AF15" s="59"/>
      <c r="AG15" s="60"/>
      <c r="AH15" s="60"/>
      <c r="AI15" s="60"/>
      <c r="AJ15" s="60"/>
    </row>
    <row r="16">
      <c r="A16" s="61">
        <v>38.0</v>
      </c>
      <c r="B16" s="74" t="s">
        <v>114</v>
      </c>
      <c r="C16" s="74" t="s">
        <v>115</v>
      </c>
      <c r="D16" s="75"/>
      <c r="E16" s="76"/>
      <c r="F16" s="76"/>
      <c r="G16" s="76"/>
      <c r="H16" s="76"/>
      <c r="I16" s="76" t="str">
        <f>IFERROR(ROUND(AVERAGE(LARGE(D16:H16,1),LARGE(D16:H16,2),LARGE(D16:H16,3)),2),"")</f>
        <v/>
      </c>
      <c r="J16" s="76"/>
      <c r="AD16" s="68"/>
      <c r="AE16" s="68"/>
      <c r="AF16" s="68"/>
      <c r="AG16" s="60"/>
      <c r="AH16" s="60"/>
      <c r="AI16" s="60"/>
      <c r="AJ16" s="60"/>
    </row>
    <row r="17">
      <c r="A17" s="51">
        <v>19.0</v>
      </c>
      <c r="B17" s="52" t="s">
        <v>116</v>
      </c>
      <c r="C17" s="52" t="s">
        <v>117</v>
      </c>
      <c r="D17" s="52" t="s">
        <v>173</v>
      </c>
      <c r="E17" s="53">
        <f t="shared" ref="E17:E51" si="3">countif(G17:AF17,0)</f>
        <v>6</v>
      </c>
      <c r="F17" s="54" t="str">
        <f t="shared" ref="F17:F51" si="4">IF($E17&gt;7,"BARRED",IF($E17=7,"WARNING","OKAY"))</f>
        <v>OKAY</v>
      </c>
      <c r="G17" s="55">
        <v>1.0</v>
      </c>
      <c r="H17" s="55">
        <v>1.0</v>
      </c>
      <c r="I17" s="55">
        <v>1.0</v>
      </c>
      <c r="J17" s="56">
        <v>1.0</v>
      </c>
      <c r="K17" s="57">
        <v>1.0</v>
      </c>
      <c r="L17" s="56">
        <v>1.0</v>
      </c>
      <c r="M17" s="56">
        <v>1.0</v>
      </c>
      <c r="N17" s="57">
        <v>1.0</v>
      </c>
      <c r="O17" s="57">
        <v>1.0</v>
      </c>
      <c r="P17" s="57">
        <v>1.0</v>
      </c>
      <c r="Q17" s="57">
        <v>0.0</v>
      </c>
      <c r="R17" s="56">
        <v>1.0</v>
      </c>
      <c r="S17" s="57">
        <v>0.0</v>
      </c>
      <c r="T17" s="57">
        <v>0.0</v>
      </c>
      <c r="U17" s="56">
        <v>1.0</v>
      </c>
      <c r="V17" s="55">
        <v>0.0</v>
      </c>
      <c r="W17" s="55">
        <v>0.0</v>
      </c>
      <c r="X17" s="55">
        <v>0.0</v>
      </c>
      <c r="Y17" s="55">
        <v>1.0</v>
      </c>
      <c r="Z17" s="55">
        <v>1.0</v>
      </c>
      <c r="AA17" s="51">
        <v>1.0</v>
      </c>
      <c r="AB17" s="51">
        <v>1.0</v>
      </c>
      <c r="AC17" s="58"/>
      <c r="AD17" s="59"/>
      <c r="AE17" s="59"/>
      <c r="AF17" s="59"/>
      <c r="AG17" s="60"/>
      <c r="AH17" s="60"/>
      <c r="AI17" s="60"/>
      <c r="AJ17" s="60"/>
    </row>
    <row r="18">
      <c r="A18" s="61">
        <v>20.0</v>
      </c>
      <c r="B18" s="70" t="s">
        <v>120</v>
      </c>
      <c r="C18" s="52" t="s">
        <v>121</v>
      </c>
      <c r="D18" s="52" t="s">
        <v>174</v>
      </c>
      <c r="E18" s="62">
        <f t="shared" si="3"/>
        <v>1</v>
      </c>
      <c r="F18" s="63" t="str">
        <f t="shared" si="4"/>
        <v>OKAY</v>
      </c>
      <c r="G18" s="64">
        <v>1.0</v>
      </c>
      <c r="H18" s="64">
        <v>1.0</v>
      </c>
      <c r="I18" s="64">
        <v>1.0</v>
      </c>
      <c r="J18" s="66">
        <v>1.0</v>
      </c>
      <c r="K18" s="66">
        <v>1.0</v>
      </c>
      <c r="L18" s="66">
        <v>1.0</v>
      </c>
      <c r="M18" s="65">
        <v>0.0</v>
      </c>
      <c r="N18" s="66">
        <v>1.0</v>
      </c>
      <c r="O18" s="65">
        <v>1.0</v>
      </c>
      <c r="P18" s="66">
        <v>1.0</v>
      </c>
      <c r="Q18" s="66">
        <v>1.0</v>
      </c>
      <c r="R18" s="66">
        <v>1.0</v>
      </c>
      <c r="S18" s="66">
        <v>1.0</v>
      </c>
      <c r="T18" s="66">
        <v>1.0</v>
      </c>
      <c r="U18" s="66">
        <v>1.0</v>
      </c>
      <c r="V18" s="64">
        <v>1.0</v>
      </c>
      <c r="W18" s="64">
        <v>1.0</v>
      </c>
      <c r="X18" s="64">
        <v>1.0</v>
      </c>
      <c r="Y18" s="64">
        <v>1.0</v>
      </c>
      <c r="Z18" s="64">
        <v>1.0</v>
      </c>
      <c r="AA18" s="61">
        <v>1.0</v>
      </c>
      <c r="AB18" s="61">
        <v>1.0</v>
      </c>
      <c r="AC18" s="67"/>
      <c r="AD18" s="68"/>
      <c r="AE18" s="68"/>
      <c r="AF18" s="68"/>
      <c r="AG18" s="60"/>
      <c r="AH18" s="60"/>
      <c r="AI18" s="60"/>
      <c r="AJ18" s="60"/>
    </row>
    <row r="19">
      <c r="A19" s="51">
        <v>21.0</v>
      </c>
      <c r="B19" s="52" t="s">
        <v>125</v>
      </c>
      <c r="C19" s="52" t="s">
        <v>126</v>
      </c>
      <c r="D19" s="52" t="s">
        <v>175</v>
      </c>
      <c r="E19" s="53">
        <f t="shared" si="3"/>
        <v>4</v>
      </c>
      <c r="F19" s="54" t="str">
        <f t="shared" si="4"/>
        <v>OKAY</v>
      </c>
      <c r="G19" s="55">
        <v>1.0</v>
      </c>
      <c r="H19" s="55">
        <v>1.0</v>
      </c>
      <c r="I19" s="55">
        <v>1.0</v>
      </c>
      <c r="J19" s="57">
        <v>1.0</v>
      </c>
      <c r="K19" s="57">
        <v>1.0</v>
      </c>
      <c r="L19" s="56">
        <v>1.0</v>
      </c>
      <c r="M19" s="57">
        <v>1.0</v>
      </c>
      <c r="N19" s="56">
        <v>1.0</v>
      </c>
      <c r="O19" s="57">
        <v>1.0</v>
      </c>
      <c r="P19" s="56">
        <v>1.0</v>
      </c>
      <c r="Q19" s="57">
        <v>1.0</v>
      </c>
      <c r="R19" s="57">
        <v>1.0</v>
      </c>
      <c r="S19" s="57">
        <v>0.0</v>
      </c>
      <c r="T19" s="57">
        <v>0.0</v>
      </c>
      <c r="U19" s="56">
        <v>1.0</v>
      </c>
      <c r="V19" s="55">
        <v>1.0</v>
      </c>
      <c r="W19" s="55">
        <v>0.0</v>
      </c>
      <c r="X19" s="55">
        <v>0.0</v>
      </c>
      <c r="Y19" s="55">
        <v>1.0</v>
      </c>
      <c r="Z19" s="55">
        <v>1.0</v>
      </c>
      <c r="AA19" s="51">
        <v>1.0</v>
      </c>
      <c r="AB19" s="51">
        <v>1.0</v>
      </c>
      <c r="AC19" s="58"/>
      <c r="AD19" s="59"/>
      <c r="AE19" s="59"/>
      <c r="AF19" s="59"/>
      <c r="AG19" s="60"/>
      <c r="AH19" s="60"/>
      <c r="AI19" s="60"/>
      <c r="AJ19" s="60"/>
    </row>
    <row r="20">
      <c r="A20" s="61">
        <v>22.0</v>
      </c>
      <c r="B20" s="52" t="s">
        <v>127</v>
      </c>
      <c r="C20" s="52" t="s">
        <v>128</v>
      </c>
      <c r="D20" s="52" t="s">
        <v>176</v>
      </c>
      <c r="E20" s="62">
        <f t="shared" si="3"/>
        <v>4</v>
      </c>
      <c r="F20" s="63" t="str">
        <f t="shared" si="4"/>
        <v>OKAY</v>
      </c>
      <c r="G20" s="64">
        <v>1.0</v>
      </c>
      <c r="H20" s="64">
        <v>1.0</v>
      </c>
      <c r="I20" s="64">
        <v>1.0</v>
      </c>
      <c r="J20" s="65">
        <v>0.0</v>
      </c>
      <c r="K20" s="66">
        <v>1.0</v>
      </c>
      <c r="L20" s="65">
        <v>0.0</v>
      </c>
      <c r="M20" s="66">
        <v>1.0</v>
      </c>
      <c r="N20" s="65">
        <v>0.0</v>
      </c>
      <c r="O20" s="65">
        <v>1.0</v>
      </c>
      <c r="P20" s="66">
        <v>1.0</v>
      </c>
      <c r="Q20" s="66">
        <v>1.0</v>
      </c>
      <c r="R20" s="66">
        <v>1.0</v>
      </c>
      <c r="S20" s="66">
        <v>1.0</v>
      </c>
      <c r="T20" s="66">
        <v>1.0</v>
      </c>
      <c r="U20" s="66">
        <v>1.0</v>
      </c>
      <c r="V20" s="64">
        <v>1.0</v>
      </c>
      <c r="W20" s="64">
        <v>1.0</v>
      </c>
      <c r="X20" s="64">
        <v>1.0</v>
      </c>
      <c r="Y20" s="64">
        <v>1.0</v>
      </c>
      <c r="Z20" s="64">
        <v>0.0</v>
      </c>
      <c r="AA20" s="61">
        <v>1.0</v>
      </c>
      <c r="AB20" s="61">
        <v>1.0</v>
      </c>
      <c r="AC20" s="67"/>
      <c r="AD20" s="68"/>
      <c r="AE20" s="68"/>
      <c r="AF20" s="68"/>
      <c r="AG20" s="60"/>
      <c r="AH20" s="60"/>
      <c r="AI20" s="60"/>
      <c r="AJ20" s="60"/>
    </row>
    <row r="21">
      <c r="A21" s="51">
        <v>23.0</v>
      </c>
      <c r="B21" s="52" t="s">
        <v>131</v>
      </c>
      <c r="C21" s="52" t="s">
        <v>132</v>
      </c>
      <c r="D21" s="52" t="s">
        <v>177</v>
      </c>
      <c r="E21" s="53">
        <f t="shared" si="3"/>
        <v>5</v>
      </c>
      <c r="F21" s="54" t="str">
        <f t="shared" si="4"/>
        <v>OKAY</v>
      </c>
      <c r="G21" s="55">
        <v>1.0</v>
      </c>
      <c r="H21" s="55">
        <v>1.0</v>
      </c>
      <c r="I21" s="55">
        <v>1.0</v>
      </c>
      <c r="J21" s="56">
        <v>1.0</v>
      </c>
      <c r="K21" s="56">
        <v>1.0</v>
      </c>
      <c r="L21" s="56">
        <v>1.0</v>
      </c>
      <c r="M21" s="56">
        <v>1.0</v>
      </c>
      <c r="N21" s="56">
        <v>1.0</v>
      </c>
      <c r="O21" s="57">
        <v>1.0</v>
      </c>
      <c r="P21" s="56">
        <v>1.0</v>
      </c>
      <c r="Q21" s="56">
        <v>1.0</v>
      </c>
      <c r="R21" s="56">
        <v>1.0</v>
      </c>
      <c r="S21" s="57">
        <v>0.0</v>
      </c>
      <c r="T21" s="56">
        <v>1.0</v>
      </c>
      <c r="U21" s="56">
        <v>1.0</v>
      </c>
      <c r="V21" s="55">
        <v>1.0</v>
      </c>
      <c r="W21" s="55">
        <v>0.0</v>
      </c>
      <c r="X21" s="55">
        <v>0.0</v>
      </c>
      <c r="Y21" s="55">
        <v>0.0</v>
      </c>
      <c r="Z21" s="55">
        <v>0.0</v>
      </c>
      <c r="AA21" s="51">
        <v>1.0</v>
      </c>
      <c r="AB21" s="51">
        <v>1.0</v>
      </c>
      <c r="AC21" s="58"/>
      <c r="AD21" s="59"/>
      <c r="AE21" s="59"/>
      <c r="AF21" s="59"/>
      <c r="AG21" s="60"/>
      <c r="AH21" s="60"/>
      <c r="AI21" s="60"/>
      <c r="AJ21" s="60"/>
    </row>
    <row r="22">
      <c r="A22" s="61">
        <v>24.0</v>
      </c>
      <c r="B22" s="52" t="s">
        <v>135</v>
      </c>
      <c r="C22" s="52" t="s">
        <v>136</v>
      </c>
      <c r="D22" s="52" t="s">
        <v>178</v>
      </c>
      <c r="E22" s="62">
        <f t="shared" si="3"/>
        <v>1</v>
      </c>
      <c r="F22" s="63" t="str">
        <f t="shared" si="4"/>
        <v>OKAY</v>
      </c>
      <c r="G22" s="64">
        <v>1.0</v>
      </c>
      <c r="H22" s="64">
        <v>1.0</v>
      </c>
      <c r="I22" s="64">
        <v>1.0</v>
      </c>
      <c r="J22" s="66">
        <v>1.0</v>
      </c>
      <c r="K22" s="66">
        <v>1.0</v>
      </c>
      <c r="L22" s="66">
        <v>1.0</v>
      </c>
      <c r="M22" s="66">
        <v>1.0</v>
      </c>
      <c r="N22" s="66">
        <v>1.0</v>
      </c>
      <c r="O22" s="65">
        <v>1.0</v>
      </c>
      <c r="P22" s="66">
        <v>1.0</v>
      </c>
      <c r="Q22" s="66">
        <v>1.0</v>
      </c>
      <c r="R22" s="66">
        <v>1.0</v>
      </c>
      <c r="S22" s="65">
        <v>0.0</v>
      </c>
      <c r="T22" s="66">
        <v>1.0</v>
      </c>
      <c r="U22" s="66">
        <v>1.0</v>
      </c>
      <c r="V22" s="64">
        <v>1.0</v>
      </c>
      <c r="W22" s="64">
        <v>1.0</v>
      </c>
      <c r="X22" s="64">
        <v>1.0</v>
      </c>
      <c r="Y22" s="64">
        <v>1.0</v>
      </c>
      <c r="Z22" s="64">
        <v>1.0</v>
      </c>
      <c r="AA22" s="61">
        <v>1.0</v>
      </c>
      <c r="AB22" s="61">
        <v>1.0</v>
      </c>
      <c r="AC22" s="67"/>
      <c r="AD22" s="68"/>
      <c r="AE22" s="68"/>
      <c r="AF22" s="68"/>
      <c r="AG22" s="60"/>
      <c r="AH22" s="60"/>
      <c r="AI22" s="60"/>
      <c r="AJ22" s="60"/>
    </row>
    <row r="23">
      <c r="A23" s="51">
        <v>25.0</v>
      </c>
      <c r="B23" s="52" t="s">
        <v>138</v>
      </c>
      <c r="C23" s="52" t="s">
        <v>139</v>
      </c>
      <c r="D23" s="52" t="s">
        <v>179</v>
      </c>
      <c r="E23" s="53">
        <f t="shared" si="3"/>
        <v>3</v>
      </c>
      <c r="F23" s="54" t="str">
        <f t="shared" si="4"/>
        <v>OKAY</v>
      </c>
      <c r="G23" s="55">
        <v>1.0</v>
      </c>
      <c r="H23" s="55">
        <v>1.0</v>
      </c>
      <c r="I23" s="55">
        <v>1.0</v>
      </c>
      <c r="J23" s="56">
        <v>1.0</v>
      </c>
      <c r="K23" s="56">
        <v>1.0</v>
      </c>
      <c r="L23" s="56">
        <v>1.0</v>
      </c>
      <c r="M23" s="56">
        <v>1.0</v>
      </c>
      <c r="N23" s="56">
        <v>1.0</v>
      </c>
      <c r="O23" s="57">
        <v>1.0</v>
      </c>
      <c r="P23" s="56">
        <v>1.0</v>
      </c>
      <c r="Q23" s="56">
        <v>1.0</v>
      </c>
      <c r="R23" s="56">
        <v>1.0</v>
      </c>
      <c r="S23" s="57">
        <v>0.0</v>
      </c>
      <c r="T23" s="56">
        <v>1.0</v>
      </c>
      <c r="U23" s="56">
        <v>1.0</v>
      </c>
      <c r="V23" s="55">
        <v>0.0</v>
      </c>
      <c r="W23" s="55">
        <v>1.0</v>
      </c>
      <c r="X23" s="55">
        <v>1.0</v>
      </c>
      <c r="Y23" s="55">
        <v>1.0</v>
      </c>
      <c r="Z23" s="55">
        <v>0.0</v>
      </c>
      <c r="AA23" s="51">
        <v>1.0</v>
      </c>
      <c r="AB23" s="51">
        <v>1.0</v>
      </c>
      <c r="AC23" s="58"/>
      <c r="AD23" s="59"/>
      <c r="AE23" s="59"/>
      <c r="AF23" s="59"/>
      <c r="AG23" s="60"/>
      <c r="AH23" s="60"/>
      <c r="AI23" s="60"/>
      <c r="AJ23" s="60"/>
    </row>
    <row r="24">
      <c r="A24" s="61">
        <v>26.0</v>
      </c>
      <c r="B24" s="52" t="s">
        <v>142</v>
      </c>
      <c r="C24" s="52" t="s">
        <v>143</v>
      </c>
      <c r="D24" s="52" t="s">
        <v>180</v>
      </c>
      <c r="E24" s="62">
        <f t="shared" si="3"/>
        <v>1</v>
      </c>
      <c r="F24" s="63" t="str">
        <f t="shared" si="4"/>
        <v>OKAY</v>
      </c>
      <c r="G24" s="64">
        <v>1.0</v>
      </c>
      <c r="H24" s="64">
        <v>1.0</v>
      </c>
      <c r="I24" s="64">
        <v>1.0</v>
      </c>
      <c r="J24" s="66">
        <v>1.0</v>
      </c>
      <c r="K24" s="66">
        <v>1.0</v>
      </c>
      <c r="L24" s="65">
        <v>0.0</v>
      </c>
      <c r="M24" s="66">
        <v>1.0</v>
      </c>
      <c r="N24" s="66">
        <v>1.0</v>
      </c>
      <c r="O24" s="65">
        <v>1.0</v>
      </c>
      <c r="P24" s="66">
        <v>1.0</v>
      </c>
      <c r="Q24" s="66">
        <v>1.0</v>
      </c>
      <c r="R24" s="66">
        <v>1.0</v>
      </c>
      <c r="S24" s="66">
        <v>1.0</v>
      </c>
      <c r="T24" s="66">
        <v>1.0</v>
      </c>
      <c r="U24" s="66">
        <v>1.0</v>
      </c>
      <c r="V24" s="64">
        <v>1.0</v>
      </c>
      <c r="W24" s="64">
        <v>1.0</v>
      </c>
      <c r="X24" s="64">
        <v>1.0</v>
      </c>
      <c r="Y24" s="64">
        <v>1.0</v>
      </c>
      <c r="Z24" s="64">
        <v>1.0</v>
      </c>
      <c r="AA24" s="61">
        <v>1.0</v>
      </c>
      <c r="AB24" s="61">
        <v>1.0</v>
      </c>
      <c r="AC24" s="67"/>
      <c r="AD24" s="68"/>
      <c r="AE24" s="68"/>
      <c r="AF24" s="68"/>
      <c r="AG24" s="60"/>
      <c r="AH24" s="60"/>
      <c r="AI24" s="60"/>
      <c r="AJ24" s="60"/>
    </row>
    <row r="25">
      <c r="A25" s="51">
        <v>1.0</v>
      </c>
      <c r="B25" s="78" t="s">
        <v>112</v>
      </c>
      <c r="C25" s="52" t="s">
        <v>113</v>
      </c>
      <c r="D25" s="52" t="s">
        <v>181</v>
      </c>
      <c r="E25" s="53">
        <f t="shared" si="3"/>
        <v>6</v>
      </c>
      <c r="F25" s="54" t="str">
        <f t="shared" si="4"/>
        <v>OKAY</v>
      </c>
      <c r="G25" s="55">
        <v>1.0</v>
      </c>
      <c r="H25" s="55">
        <v>1.0</v>
      </c>
      <c r="I25" s="55">
        <v>1.0</v>
      </c>
      <c r="J25" s="79">
        <v>1.0</v>
      </c>
      <c r="K25" s="79">
        <v>1.0</v>
      </c>
      <c r="L25" s="57">
        <v>1.0</v>
      </c>
      <c r="M25" s="57">
        <v>1.0</v>
      </c>
      <c r="N25" s="79">
        <v>1.0</v>
      </c>
      <c r="O25" s="57">
        <v>1.0</v>
      </c>
      <c r="P25" s="57">
        <v>0.0</v>
      </c>
      <c r="Q25" s="56">
        <v>1.0</v>
      </c>
      <c r="R25" s="57">
        <v>0.0</v>
      </c>
      <c r="S25" s="57">
        <v>0.0</v>
      </c>
      <c r="T25" s="57">
        <v>0.0</v>
      </c>
      <c r="U25" s="56">
        <v>1.0</v>
      </c>
      <c r="V25" s="55">
        <v>1.0</v>
      </c>
      <c r="W25" s="55">
        <v>0.0</v>
      </c>
      <c r="X25" s="55">
        <v>0.0</v>
      </c>
      <c r="Y25" s="55">
        <v>1.0</v>
      </c>
      <c r="Z25" s="55">
        <v>1.0</v>
      </c>
      <c r="AA25" s="51">
        <v>1.0</v>
      </c>
      <c r="AB25" s="51">
        <v>1.0</v>
      </c>
      <c r="AC25" s="58"/>
      <c r="AD25" s="59"/>
      <c r="AE25" s="59"/>
      <c r="AF25" s="59"/>
      <c r="AG25" s="60"/>
      <c r="AH25" s="60"/>
      <c r="AI25" s="60"/>
      <c r="AJ25" s="60"/>
    </row>
    <row r="26">
      <c r="A26" s="61">
        <v>2.0</v>
      </c>
      <c r="B26" s="52" t="s">
        <v>100</v>
      </c>
      <c r="C26" s="52" t="s">
        <v>101</v>
      </c>
      <c r="D26" s="52" t="s">
        <v>182</v>
      </c>
      <c r="E26" s="62">
        <f t="shared" si="3"/>
        <v>3</v>
      </c>
      <c r="F26" s="63" t="str">
        <f t="shared" si="4"/>
        <v>OKAY</v>
      </c>
      <c r="G26" s="64">
        <v>1.0</v>
      </c>
      <c r="H26" s="64">
        <v>1.0</v>
      </c>
      <c r="I26" s="64">
        <v>1.0</v>
      </c>
      <c r="J26" s="66">
        <v>1.0</v>
      </c>
      <c r="K26" s="66">
        <v>1.0</v>
      </c>
      <c r="L26" s="66">
        <v>1.0</v>
      </c>
      <c r="M26" s="66">
        <v>1.0</v>
      </c>
      <c r="N26" s="66">
        <v>1.0</v>
      </c>
      <c r="O26" s="65">
        <v>1.0</v>
      </c>
      <c r="P26" s="66">
        <v>1.0</v>
      </c>
      <c r="Q26" s="65">
        <v>0.0</v>
      </c>
      <c r="R26" s="66">
        <v>1.0</v>
      </c>
      <c r="S26" s="66">
        <v>1.0</v>
      </c>
      <c r="T26" s="66">
        <v>1.0</v>
      </c>
      <c r="U26" s="66">
        <v>1.0</v>
      </c>
      <c r="V26" s="64">
        <v>1.0</v>
      </c>
      <c r="W26" s="64">
        <v>1.0</v>
      </c>
      <c r="X26" s="64">
        <v>1.0</v>
      </c>
      <c r="Y26" s="64">
        <v>0.0</v>
      </c>
      <c r="Z26" s="64">
        <v>1.0</v>
      </c>
      <c r="AA26" s="61">
        <v>0.0</v>
      </c>
      <c r="AB26" s="61">
        <v>1.0</v>
      </c>
      <c r="AC26" s="67"/>
      <c r="AD26" s="68"/>
      <c r="AE26" s="68"/>
      <c r="AF26" s="68"/>
      <c r="AG26" s="60"/>
      <c r="AH26" s="60"/>
      <c r="AI26" s="60"/>
      <c r="AJ26" s="60"/>
    </row>
    <row r="27">
      <c r="A27" s="51">
        <v>3.0</v>
      </c>
      <c r="B27" s="52" t="s">
        <v>23</v>
      </c>
      <c r="C27" s="52" t="s">
        <v>26</v>
      </c>
      <c r="D27" s="52" t="s">
        <v>183</v>
      </c>
      <c r="E27" s="53">
        <f t="shared" si="3"/>
        <v>5</v>
      </c>
      <c r="F27" s="54" t="str">
        <f t="shared" si="4"/>
        <v>OKAY</v>
      </c>
      <c r="G27" s="55">
        <v>1.0</v>
      </c>
      <c r="H27" s="55">
        <v>1.0</v>
      </c>
      <c r="I27" s="55">
        <v>1.0</v>
      </c>
      <c r="J27" s="57">
        <v>0.0</v>
      </c>
      <c r="K27" s="56">
        <v>1.0</v>
      </c>
      <c r="L27" s="56">
        <v>1.0</v>
      </c>
      <c r="M27" s="57">
        <v>0.0</v>
      </c>
      <c r="N27" s="57">
        <v>0.0</v>
      </c>
      <c r="O27" s="57">
        <v>1.0</v>
      </c>
      <c r="P27" s="56">
        <v>1.0</v>
      </c>
      <c r="Q27" s="56">
        <v>1.0</v>
      </c>
      <c r="R27" s="57">
        <v>0.0</v>
      </c>
      <c r="S27" s="56">
        <v>1.0</v>
      </c>
      <c r="T27" s="56">
        <v>1.0</v>
      </c>
      <c r="U27" s="56">
        <v>1.0</v>
      </c>
      <c r="V27" s="55">
        <v>1.0</v>
      </c>
      <c r="W27" s="55">
        <v>0.0</v>
      </c>
      <c r="X27" s="55">
        <v>1.0</v>
      </c>
      <c r="Y27" s="55">
        <v>1.0</v>
      </c>
      <c r="Z27" s="55">
        <v>1.0</v>
      </c>
      <c r="AA27" s="51">
        <v>1.0</v>
      </c>
      <c r="AB27" s="51">
        <v>1.0</v>
      </c>
      <c r="AC27" s="58"/>
      <c r="AD27" s="59"/>
      <c r="AE27" s="59"/>
      <c r="AF27" s="59"/>
      <c r="AG27" s="60"/>
      <c r="AH27" s="60"/>
      <c r="AI27" s="60"/>
      <c r="AJ27" s="60"/>
    </row>
    <row r="28">
      <c r="A28" s="61">
        <v>4.0</v>
      </c>
      <c r="B28" s="52" t="s">
        <v>118</v>
      </c>
      <c r="C28" s="52" t="s">
        <v>119</v>
      </c>
      <c r="D28" s="52" t="s">
        <v>184</v>
      </c>
      <c r="E28" s="62">
        <f t="shared" si="3"/>
        <v>3</v>
      </c>
      <c r="F28" s="63" t="str">
        <f t="shared" si="4"/>
        <v>OKAY</v>
      </c>
      <c r="G28" s="64">
        <v>1.0</v>
      </c>
      <c r="H28" s="64">
        <v>1.0</v>
      </c>
      <c r="I28" s="64">
        <v>1.0</v>
      </c>
      <c r="J28" s="66">
        <v>1.0</v>
      </c>
      <c r="K28" s="66">
        <v>1.0</v>
      </c>
      <c r="L28" s="66">
        <v>1.0</v>
      </c>
      <c r="M28" s="66">
        <v>1.0</v>
      </c>
      <c r="N28" s="65">
        <v>0.0</v>
      </c>
      <c r="O28" s="65">
        <v>1.0</v>
      </c>
      <c r="P28" s="65">
        <v>0.0</v>
      </c>
      <c r="Q28" s="66">
        <v>1.0</v>
      </c>
      <c r="R28" s="66">
        <v>1.0</v>
      </c>
      <c r="S28" s="66">
        <v>1.0</v>
      </c>
      <c r="T28" s="65">
        <v>0.0</v>
      </c>
      <c r="U28" s="66">
        <v>1.0</v>
      </c>
      <c r="V28" s="64">
        <v>1.0</v>
      </c>
      <c r="W28" s="64">
        <v>1.0</v>
      </c>
      <c r="X28" s="64">
        <v>1.0</v>
      </c>
      <c r="Y28" s="64">
        <v>1.0</v>
      </c>
      <c r="Z28" s="64">
        <v>1.0</v>
      </c>
      <c r="AA28" s="61">
        <v>1.0</v>
      </c>
      <c r="AB28" s="61">
        <v>1.0</v>
      </c>
      <c r="AC28" s="67"/>
      <c r="AD28" s="68"/>
      <c r="AE28" s="68"/>
      <c r="AF28" s="68"/>
      <c r="AG28" s="60"/>
      <c r="AH28" s="60"/>
      <c r="AI28" s="60"/>
      <c r="AJ28" s="60"/>
    </row>
    <row r="29">
      <c r="A29" s="51">
        <v>5.0</v>
      </c>
      <c r="B29" s="52" t="s">
        <v>107</v>
      </c>
      <c r="C29" s="52" t="s">
        <v>108</v>
      </c>
      <c r="D29" s="52" t="s">
        <v>185</v>
      </c>
      <c r="E29" s="53">
        <f t="shared" si="3"/>
        <v>6</v>
      </c>
      <c r="F29" s="54" t="str">
        <f t="shared" si="4"/>
        <v>OKAY</v>
      </c>
      <c r="G29" s="55">
        <v>1.0</v>
      </c>
      <c r="H29" s="55">
        <v>1.0</v>
      </c>
      <c r="I29" s="55">
        <v>1.0</v>
      </c>
      <c r="J29" s="56">
        <v>1.0</v>
      </c>
      <c r="K29" s="57">
        <v>1.0</v>
      </c>
      <c r="L29" s="57">
        <v>1.0</v>
      </c>
      <c r="M29" s="57">
        <v>1.0</v>
      </c>
      <c r="N29" s="57">
        <v>1.0</v>
      </c>
      <c r="O29" s="57">
        <v>1.0</v>
      </c>
      <c r="P29" s="57">
        <v>1.0</v>
      </c>
      <c r="Q29" s="57">
        <v>1.0</v>
      </c>
      <c r="R29" s="57">
        <v>0.0</v>
      </c>
      <c r="S29" s="57">
        <v>0.0</v>
      </c>
      <c r="T29" s="57">
        <v>0.0</v>
      </c>
      <c r="U29" s="56">
        <v>1.0</v>
      </c>
      <c r="V29" s="55">
        <v>1.0</v>
      </c>
      <c r="W29" s="55">
        <v>0.0</v>
      </c>
      <c r="X29" s="55">
        <v>0.0</v>
      </c>
      <c r="Y29" s="55">
        <v>0.0</v>
      </c>
      <c r="Z29" s="55">
        <v>1.0</v>
      </c>
      <c r="AA29" s="51">
        <v>1.0</v>
      </c>
      <c r="AB29" s="51">
        <v>1.0</v>
      </c>
      <c r="AC29" s="58"/>
      <c r="AD29" s="59"/>
      <c r="AE29" s="59"/>
      <c r="AF29" s="59"/>
      <c r="AG29" s="60"/>
      <c r="AH29" s="60"/>
      <c r="AI29" s="60"/>
      <c r="AJ29" s="60"/>
    </row>
    <row r="30">
      <c r="A30" s="61">
        <v>9.0</v>
      </c>
      <c r="B30" s="52" t="s">
        <v>171</v>
      </c>
      <c r="C30" s="52" t="s">
        <v>172</v>
      </c>
      <c r="D30" s="52" t="s">
        <v>186</v>
      </c>
      <c r="E30" s="62">
        <f t="shared" si="3"/>
        <v>6</v>
      </c>
      <c r="F30" s="63" t="str">
        <f t="shared" si="4"/>
        <v>OKAY</v>
      </c>
      <c r="G30" s="64">
        <v>1.0</v>
      </c>
      <c r="H30" s="64">
        <v>1.0</v>
      </c>
      <c r="I30" s="64">
        <v>1.0</v>
      </c>
      <c r="J30" s="65">
        <v>1.0</v>
      </c>
      <c r="K30" s="65">
        <v>1.0</v>
      </c>
      <c r="L30" s="65">
        <v>1.0</v>
      </c>
      <c r="M30" s="65">
        <v>0.0</v>
      </c>
      <c r="N30" s="65">
        <v>0.0</v>
      </c>
      <c r="O30" s="65">
        <v>1.0</v>
      </c>
      <c r="P30" s="65">
        <v>0.0</v>
      </c>
      <c r="Q30" s="66">
        <v>1.0</v>
      </c>
      <c r="R30" s="66">
        <v>1.0</v>
      </c>
      <c r="S30" s="65">
        <v>0.0</v>
      </c>
      <c r="T30" s="65">
        <v>0.0</v>
      </c>
      <c r="U30" s="66">
        <v>1.0</v>
      </c>
      <c r="V30" s="64">
        <v>1.0</v>
      </c>
      <c r="W30" s="64">
        <v>1.0</v>
      </c>
      <c r="X30" s="64">
        <v>1.0</v>
      </c>
      <c r="Y30" s="64">
        <v>1.0</v>
      </c>
      <c r="Z30" s="64">
        <v>1.0</v>
      </c>
      <c r="AA30" s="61">
        <v>0.0</v>
      </c>
      <c r="AB30" s="61">
        <v>1.0</v>
      </c>
      <c r="AC30" s="67"/>
      <c r="AD30" s="68"/>
      <c r="AE30" s="68"/>
      <c r="AF30" s="68"/>
      <c r="AG30" s="60"/>
      <c r="AH30" s="60"/>
      <c r="AI30" s="60"/>
      <c r="AJ30" s="60"/>
    </row>
    <row r="31">
      <c r="A31" s="51">
        <v>14.0</v>
      </c>
      <c r="B31" s="52" t="s">
        <v>168</v>
      </c>
      <c r="C31" s="52" t="s">
        <v>169</v>
      </c>
      <c r="D31" s="52" t="s">
        <v>187</v>
      </c>
      <c r="E31" s="53">
        <f t="shared" si="3"/>
        <v>6</v>
      </c>
      <c r="F31" s="54" t="str">
        <f t="shared" si="4"/>
        <v>OKAY</v>
      </c>
      <c r="G31" s="55">
        <v>1.0</v>
      </c>
      <c r="H31" s="55">
        <v>1.0</v>
      </c>
      <c r="I31" s="55">
        <v>1.0</v>
      </c>
      <c r="J31" s="56">
        <v>1.0</v>
      </c>
      <c r="K31" s="56">
        <v>1.0</v>
      </c>
      <c r="L31" s="56">
        <v>1.0</v>
      </c>
      <c r="M31" s="56">
        <v>1.0</v>
      </c>
      <c r="N31" s="57">
        <v>0.0</v>
      </c>
      <c r="O31" s="57">
        <v>1.0</v>
      </c>
      <c r="P31" s="57">
        <v>0.0</v>
      </c>
      <c r="Q31" s="57">
        <v>0.0</v>
      </c>
      <c r="R31" s="57">
        <v>0.0</v>
      </c>
      <c r="S31" s="57">
        <v>0.0</v>
      </c>
      <c r="T31" s="56">
        <v>1.0</v>
      </c>
      <c r="U31" s="57">
        <v>1.0</v>
      </c>
      <c r="V31" s="55">
        <v>1.0</v>
      </c>
      <c r="W31" s="55">
        <v>1.0</v>
      </c>
      <c r="X31" s="55">
        <v>1.0</v>
      </c>
      <c r="Y31" s="55">
        <v>1.0</v>
      </c>
      <c r="Z31" s="55">
        <v>1.0</v>
      </c>
      <c r="AA31" s="51">
        <v>0.0</v>
      </c>
      <c r="AB31" s="51">
        <v>1.0</v>
      </c>
      <c r="AC31" s="58"/>
      <c r="AD31" s="59"/>
      <c r="AE31" s="59"/>
      <c r="AF31" s="59"/>
      <c r="AG31" s="60"/>
      <c r="AH31" s="60"/>
      <c r="AI31" s="60"/>
      <c r="AJ31" s="60"/>
    </row>
    <row r="32">
      <c r="A32" s="61">
        <v>27.0</v>
      </c>
      <c r="B32" s="52" t="s">
        <v>146</v>
      </c>
      <c r="C32" s="52" t="s">
        <v>147</v>
      </c>
      <c r="D32" s="52" t="s">
        <v>188</v>
      </c>
      <c r="E32" s="62">
        <f t="shared" si="3"/>
        <v>1</v>
      </c>
      <c r="F32" s="63" t="str">
        <f t="shared" si="4"/>
        <v>OKAY</v>
      </c>
      <c r="G32" s="64">
        <v>1.0</v>
      </c>
      <c r="H32" s="64">
        <v>1.0</v>
      </c>
      <c r="I32" s="64">
        <v>1.0</v>
      </c>
      <c r="J32" s="66">
        <v>1.0</v>
      </c>
      <c r="K32" s="66">
        <v>1.0</v>
      </c>
      <c r="L32" s="66">
        <v>1.0</v>
      </c>
      <c r="M32" s="66">
        <v>1.0</v>
      </c>
      <c r="N32" s="66">
        <v>1.0</v>
      </c>
      <c r="O32" s="65">
        <v>1.0</v>
      </c>
      <c r="P32" s="66">
        <v>1.0</v>
      </c>
      <c r="Q32" s="66">
        <v>1.0</v>
      </c>
      <c r="R32" s="65">
        <v>0.0</v>
      </c>
      <c r="S32" s="66">
        <v>1.0</v>
      </c>
      <c r="T32" s="66">
        <v>1.0</v>
      </c>
      <c r="U32" s="66">
        <v>1.0</v>
      </c>
      <c r="V32" s="64">
        <v>1.0</v>
      </c>
      <c r="W32" s="64">
        <v>1.0</v>
      </c>
      <c r="X32" s="64">
        <v>1.0</v>
      </c>
      <c r="Y32" s="64">
        <v>1.0</v>
      </c>
      <c r="Z32" s="64">
        <v>1.0</v>
      </c>
      <c r="AA32" s="61">
        <v>1.0</v>
      </c>
      <c r="AB32" s="61">
        <v>1.0</v>
      </c>
      <c r="AC32" s="67"/>
      <c r="AD32" s="68"/>
      <c r="AE32" s="68"/>
      <c r="AF32" s="68"/>
      <c r="AG32" s="60"/>
      <c r="AH32" s="60"/>
      <c r="AI32" s="60"/>
      <c r="AJ32" s="60"/>
    </row>
    <row r="33">
      <c r="A33" s="51">
        <v>28.0</v>
      </c>
      <c r="B33" s="52" t="s">
        <v>150</v>
      </c>
      <c r="C33" s="52" t="s">
        <v>151</v>
      </c>
      <c r="D33" s="52" t="s">
        <v>189</v>
      </c>
      <c r="E33" s="53">
        <f t="shared" si="3"/>
        <v>3</v>
      </c>
      <c r="F33" s="54" t="str">
        <f t="shared" si="4"/>
        <v>OKAY</v>
      </c>
      <c r="G33" s="55">
        <v>1.0</v>
      </c>
      <c r="H33" s="55">
        <v>1.0</v>
      </c>
      <c r="I33" s="55">
        <v>1.0</v>
      </c>
      <c r="J33" s="56">
        <v>1.0</v>
      </c>
      <c r="K33" s="56">
        <v>1.0</v>
      </c>
      <c r="L33" s="56">
        <v>1.0</v>
      </c>
      <c r="M33" s="56">
        <v>1.0</v>
      </c>
      <c r="N33" s="56">
        <v>1.0</v>
      </c>
      <c r="O33" s="57">
        <v>1.0</v>
      </c>
      <c r="P33" s="57">
        <v>0.0</v>
      </c>
      <c r="Q33" s="56">
        <v>1.0</v>
      </c>
      <c r="R33" s="57">
        <v>0.0</v>
      </c>
      <c r="S33" s="56">
        <v>1.0</v>
      </c>
      <c r="T33" s="56">
        <v>1.0</v>
      </c>
      <c r="U33" s="56">
        <v>1.0</v>
      </c>
      <c r="V33" s="55">
        <v>0.0</v>
      </c>
      <c r="W33" s="55">
        <v>1.0</v>
      </c>
      <c r="X33" s="55">
        <v>1.0</v>
      </c>
      <c r="Y33" s="55">
        <v>1.0</v>
      </c>
      <c r="Z33" s="55">
        <v>1.0</v>
      </c>
      <c r="AA33" s="51">
        <v>1.0</v>
      </c>
      <c r="AB33" s="51">
        <v>1.0</v>
      </c>
      <c r="AC33" s="58"/>
      <c r="AD33" s="59"/>
      <c r="AE33" s="59"/>
      <c r="AF33" s="59"/>
      <c r="AG33" s="60"/>
      <c r="AH33" s="60"/>
      <c r="AI33" s="60"/>
      <c r="AJ33" s="60"/>
    </row>
    <row r="34">
      <c r="A34" s="61">
        <v>29.0</v>
      </c>
      <c r="B34" s="52" t="s">
        <v>154</v>
      </c>
      <c r="C34" s="52" t="s">
        <v>155</v>
      </c>
      <c r="D34" s="52" t="s">
        <v>190</v>
      </c>
      <c r="E34" s="62">
        <f t="shared" si="3"/>
        <v>5</v>
      </c>
      <c r="F34" s="63" t="str">
        <f t="shared" si="4"/>
        <v>OKAY</v>
      </c>
      <c r="G34" s="64">
        <v>1.0</v>
      </c>
      <c r="H34" s="64">
        <v>1.0</v>
      </c>
      <c r="I34" s="64">
        <v>1.0</v>
      </c>
      <c r="J34" s="66">
        <v>1.0</v>
      </c>
      <c r="K34" s="66">
        <v>1.0</v>
      </c>
      <c r="L34" s="66">
        <v>1.0</v>
      </c>
      <c r="M34" s="66">
        <v>1.0</v>
      </c>
      <c r="N34" s="65">
        <v>0.0</v>
      </c>
      <c r="O34" s="65">
        <v>1.0</v>
      </c>
      <c r="P34" s="65">
        <v>0.0</v>
      </c>
      <c r="Q34" s="66">
        <v>1.0</v>
      </c>
      <c r="R34" s="65">
        <v>0.0</v>
      </c>
      <c r="S34" s="66">
        <v>1.0</v>
      </c>
      <c r="T34" s="65">
        <v>0.0</v>
      </c>
      <c r="U34" s="66">
        <v>1.0</v>
      </c>
      <c r="V34" s="64">
        <v>1.0</v>
      </c>
      <c r="W34" s="64">
        <v>1.0</v>
      </c>
      <c r="X34" s="64">
        <v>0.0</v>
      </c>
      <c r="Y34" s="64">
        <v>1.0</v>
      </c>
      <c r="Z34" s="64">
        <v>1.0</v>
      </c>
      <c r="AA34" s="61">
        <v>1.0</v>
      </c>
      <c r="AB34" s="61">
        <v>1.0</v>
      </c>
      <c r="AC34" s="67"/>
      <c r="AD34" s="68"/>
      <c r="AE34" s="68"/>
      <c r="AF34" s="68"/>
      <c r="AG34" s="60"/>
      <c r="AH34" s="60"/>
      <c r="AI34" s="60"/>
      <c r="AJ34" s="60"/>
    </row>
    <row r="35">
      <c r="A35" s="51">
        <v>30.0</v>
      </c>
      <c r="B35" s="52" t="s">
        <v>156</v>
      </c>
      <c r="C35" s="52" t="s">
        <v>157</v>
      </c>
      <c r="D35" s="52" t="s">
        <v>191</v>
      </c>
      <c r="E35" s="53">
        <f t="shared" si="3"/>
        <v>5</v>
      </c>
      <c r="F35" s="54" t="str">
        <f t="shared" si="4"/>
        <v>OKAY</v>
      </c>
      <c r="G35" s="55">
        <v>1.0</v>
      </c>
      <c r="H35" s="55">
        <v>1.0</v>
      </c>
      <c r="I35" s="55">
        <v>1.0</v>
      </c>
      <c r="J35" s="56">
        <v>1.0</v>
      </c>
      <c r="K35" s="56">
        <v>1.0</v>
      </c>
      <c r="L35" s="56">
        <v>1.0</v>
      </c>
      <c r="M35" s="56">
        <v>1.0</v>
      </c>
      <c r="N35" s="56">
        <v>1.0</v>
      </c>
      <c r="O35" s="57">
        <v>1.0</v>
      </c>
      <c r="P35" s="57">
        <v>0.0</v>
      </c>
      <c r="Q35" s="56">
        <v>1.0</v>
      </c>
      <c r="R35" s="56">
        <v>1.0</v>
      </c>
      <c r="S35" s="56">
        <v>1.0</v>
      </c>
      <c r="T35" s="57">
        <v>0.0</v>
      </c>
      <c r="U35" s="56">
        <v>1.0</v>
      </c>
      <c r="V35" s="55">
        <v>0.0</v>
      </c>
      <c r="W35" s="55">
        <v>1.0</v>
      </c>
      <c r="X35" s="55">
        <v>0.0</v>
      </c>
      <c r="Y35" s="55">
        <v>0.0</v>
      </c>
      <c r="Z35" s="55">
        <v>1.0</v>
      </c>
      <c r="AA35" s="51">
        <v>1.0</v>
      </c>
      <c r="AB35" s="51">
        <v>1.0</v>
      </c>
      <c r="AC35" s="58"/>
      <c r="AD35" s="59"/>
      <c r="AE35" s="59"/>
      <c r="AF35" s="59"/>
      <c r="AG35" s="60"/>
      <c r="AH35" s="60"/>
      <c r="AI35" s="60"/>
      <c r="AJ35" s="60"/>
    </row>
    <row r="36">
      <c r="A36" s="61">
        <v>31.0</v>
      </c>
      <c r="B36" s="70" t="s">
        <v>152</v>
      </c>
      <c r="C36" s="52" t="s">
        <v>153</v>
      </c>
      <c r="D36" s="80" t="s">
        <v>192</v>
      </c>
      <c r="E36" s="62">
        <f t="shared" si="3"/>
        <v>1</v>
      </c>
      <c r="F36" s="63" t="str">
        <f t="shared" si="4"/>
        <v>OKAY</v>
      </c>
      <c r="G36" s="64">
        <v>1.0</v>
      </c>
      <c r="H36" s="64">
        <v>1.0</v>
      </c>
      <c r="I36" s="64">
        <v>1.0</v>
      </c>
      <c r="J36" s="66">
        <v>1.0</v>
      </c>
      <c r="K36" s="66">
        <v>1.0</v>
      </c>
      <c r="L36" s="66">
        <v>1.0</v>
      </c>
      <c r="M36" s="66">
        <v>1.0</v>
      </c>
      <c r="N36" s="66">
        <v>1.0</v>
      </c>
      <c r="O36" s="65">
        <v>1.0</v>
      </c>
      <c r="P36" s="66">
        <v>1.0</v>
      </c>
      <c r="Q36" s="65">
        <v>0.0</v>
      </c>
      <c r="R36" s="66">
        <v>1.0</v>
      </c>
      <c r="S36" s="66">
        <v>1.0</v>
      </c>
      <c r="T36" s="66">
        <v>1.0</v>
      </c>
      <c r="U36" s="66">
        <v>1.0</v>
      </c>
      <c r="V36" s="64">
        <v>1.0</v>
      </c>
      <c r="W36" s="64">
        <v>1.0</v>
      </c>
      <c r="X36" s="64">
        <v>1.0</v>
      </c>
      <c r="Y36" s="64">
        <v>1.0</v>
      </c>
      <c r="Z36" s="64">
        <v>1.0</v>
      </c>
      <c r="AA36" s="61">
        <v>1.0</v>
      </c>
      <c r="AB36" s="61">
        <v>1.0</v>
      </c>
      <c r="AC36" s="67"/>
      <c r="AD36" s="68"/>
      <c r="AE36" s="68"/>
      <c r="AF36" s="68"/>
      <c r="AG36" s="60"/>
      <c r="AH36" s="60"/>
      <c r="AI36" s="60"/>
      <c r="AJ36" s="60"/>
    </row>
    <row r="37">
      <c r="A37" s="51">
        <v>32.0</v>
      </c>
      <c r="B37" s="52" t="s">
        <v>148</v>
      </c>
      <c r="C37" s="52" t="s">
        <v>149</v>
      </c>
      <c r="D37" s="52" t="s">
        <v>193</v>
      </c>
      <c r="E37" s="53">
        <f t="shared" si="3"/>
        <v>18</v>
      </c>
      <c r="F37" s="54" t="str">
        <f t="shared" si="4"/>
        <v>BARRED</v>
      </c>
      <c r="G37" s="55">
        <v>1.0</v>
      </c>
      <c r="H37" s="55">
        <v>1.0</v>
      </c>
      <c r="I37" s="55">
        <v>1.0</v>
      </c>
      <c r="J37" s="57">
        <v>0.0</v>
      </c>
      <c r="K37" s="57">
        <v>0.0</v>
      </c>
      <c r="L37" s="57">
        <v>0.0</v>
      </c>
      <c r="M37" s="57">
        <v>0.0</v>
      </c>
      <c r="N37" s="57">
        <v>0.0</v>
      </c>
      <c r="O37" s="57">
        <v>1.0</v>
      </c>
      <c r="P37" s="57">
        <v>0.0</v>
      </c>
      <c r="Q37" s="57">
        <v>0.0</v>
      </c>
      <c r="R37" s="57">
        <v>0.0</v>
      </c>
      <c r="S37" s="57">
        <v>0.0</v>
      </c>
      <c r="T37" s="57">
        <v>0.0</v>
      </c>
      <c r="U37" s="57">
        <v>0.0</v>
      </c>
      <c r="V37" s="55">
        <v>0.0</v>
      </c>
      <c r="W37" s="55">
        <v>0.0</v>
      </c>
      <c r="X37" s="55">
        <v>0.0</v>
      </c>
      <c r="Y37" s="55">
        <v>0.0</v>
      </c>
      <c r="Z37" s="55">
        <v>0.0</v>
      </c>
      <c r="AA37" s="51">
        <v>0.0</v>
      </c>
      <c r="AB37" s="51">
        <v>0.0</v>
      </c>
      <c r="AC37" s="58"/>
      <c r="AD37" s="59"/>
      <c r="AE37" s="59"/>
      <c r="AF37" s="59"/>
      <c r="AG37" s="60"/>
      <c r="AH37" s="60"/>
      <c r="AI37" s="60"/>
      <c r="AJ37" s="60"/>
    </row>
    <row r="38">
      <c r="A38" s="61">
        <v>33.0</v>
      </c>
      <c r="B38" s="52" t="s">
        <v>144</v>
      </c>
      <c r="C38" s="52" t="s">
        <v>145</v>
      </c>
      <c r="D38" s="52" t="s">
        <v>194</v>
      </c>
      <c r="E38" s="62">
        <f t="shared" si="3"/>
        <v>6</v>
      </c>
      <c r="F38" s="63" t="str">
        <f t="shared" si="4"/>
        <v>OKAY</v>
      </c>
      <c r="G38" s="64">
        <v>1.0</v>
      </c>
      <c r="H38" s="64">
        <v>1.0</v>
      </c>
      <c r="I38" s="64">
        <v>1.0</v>
      </c>
      <c r="J38" s="65">
        <v>1.0</v>
      </c>
      <c r="K38" s="66">
        <v>1.0</v>
      </c>
      <c r="L38" s="65">
        <v>1.0</v>
      </c>
      <c r="M38" s="66">
        <v>1.0</v>
      </c>
      <c r="N38" s="65">
        <v>1.0</v>
      </c>
      <c r="O38" s="65">
        <v>1.0</v>
      </c>
      <c r="P38" s="65">
        <v>1.0</v>
      </c>
      <c r="Q38" s="65">
        <v>0.0</v>
      </c>
      <c r="R38" s="65">
        <v>0.0</v>
      </c>
      <c r="S38" s="66">
        <v>1.0</v>
      </c>
      <c r="T38" s="65">
        <v>0.0</v>
      </c>
      <c r="U38" s="66">
        <v>1.0</v>
      </c>
      <c r="V38" s="64">
        <v>0.0</v>
      </c>
      <c r="W38" s="64">
        <v>0.0</v>
      </c>
      <c r="X38" s="64">
        <v>1.0</v>
      </c>
      <c r="Y38" s="64">
        <v>0.0</v>
      </c>
      <c r="Z38" s="64">
        <v>1.0</v>
      </c>
      <c r="AA38" s="61">
        <v>1.0</v>
      </c>
      <c r="AB38" s="61">
        <v>1.0</v>
      </c>
      <c r="AC38" s="67"/>
      <c r="AD38" s="68"/>
      <c r="AE38" s="68"/>
      <c r="AF38" s="68"/>
      <c r="AG38" s="60"/>
      <c r="AH38" s="60"/>
      <c r="AI38" s="60"/>
      <c r="AJ38" s="60"/>
    </row>
    <row r="39">
      <c r="A39" s="51">
        <v>34.0</v>
      </c>
      <c r="B39" s="52" t="s">
        <v>140</v>
      </c>
      <c r="C39" s="52" t="s">
        <v>141</v>
      </c>
      <c r="D39" s="52" t="s">
        <v>195</v>
      </c>
      <c r="E39" s="53">
        <f t="shared" si="3"/>
        <v>6</v>
      </c>
      <c r="F39" s="54" t="str">
        <f t="shared" si="4"/>
        <v>OKAY</v>
      </c>
      <c r="G39" s="55">
        <v>1.0</v>
      </c>
      <c r="H39" s="55">
        <v>1.0</v>
      </c>
      <c r="I39" s="55">
        <v>1.0</v>
      </c>
      <c r="J39" s="57">
        <v>1.0</v>
      </c>
      <c r="K39" s="57">
        <v>1.0</v>
      </c>
      <c r="L39" s="57">
        <v>1.0</v>
      </c>
      <c r="M39" s="57">
        <v>1.0</v>
      </c>
      <c r="N39" s="57">
        <v>0.0</v>
      </c>
      <c r="O39" s="57">
        <v>1.0</v>
      </c>
      <c r="P39" s="57">
        <v>0.0</v>
      </c>
      <c r="Q39" s="57">
        <v>0.0</v>
      </c>
      <c r="R39" s="56">
        <v>1.0</v>
      </c>
      <c r="S39" s="57">
        <v>0.0</v>
      </c>
      <c r="T39" s="56">
        <v>1.0</v>
      </c>
      <c r="U39" s="56">
        <v>1.0</v>
      </c>
      <c r="V39" s="55">
        <v>1.0</v>
      </c>
      <c r="W39" s="55">
        <v>0.0</v>
      </c>
      <c r="X39" s="55">
        <v>1.0</v>
      </c>
      <c r="Y39" s="55">
        <v>1.0</v>
      </c>
      <c r="Z39" s="55">
        <v>1.0</v>
      </c>
      <c r="AA39" s="51">
        <v>0.0</v>
      </c>
      <c r="AB39" s="51">
        <v>1.0</v>
      </c>
      <c r="AC39" s="58"/>
      <c r="AD39" s="59"/>
      <c r="AE39" s="59"/>
      <c r="AF39" s="59"/>
      <c r="AG39" s="60"/>
      <c r="AH39" s="60"/>
      <c r="AI39" s="60"/>
      <c r="AJ39" s="60"/>
    </row>
    <row r="40">
      <c r="A40" s="61">
        <v>35.0</v>
      </c>
      <c r="B40" s="52" t="s">
        <v>133</v>
      </c>
      <c r="C40" s="52" t="s">
        <v>134</v>
      </c>
      <c r="D40" s="52" t="s">
        <v>196</v>
      </c>
      <c r="E40" s="62">
        <f t="shared" si="3"/>
        <v>1</v>
      </c>
      <c r="F40" s="63" t="str">
        <f t="shared" si="4"/>
        <v>OKAY</v>
      </c>
      <c r="G40" s="64">
        <v>1.0</v>
      </c>
      <c r="H40" s="64">
        <v>1.0</v>
      </c>
      <c r="I40" s="64">
        <v>1.0</v>
      </c>
      <c r="J40" s="65">
        <v>0.0</v>
      </c>
      <c r="K40" s="66">
        <v>1.0</v>
      </c>
      <c r="L40" s="66">
        <v>1.0</v>
      </c>
      <c r="M40" s="66">
        <v>1.0</v>
      </c>
      <c r="N40" s="66">
        <v>1.0</v>
      </c>
      <c r="O40" s="65">
        <v>1.0</v>
      </c>
      <c r="P40" s="66">
        <v>1.0</v>
      </c>
      <c r="Q40" s="66">
        <v>1.0</v>
      </c>
      <c r="R40" s="66">
        <v>1.0</v>
      </c>
      <c r="S40" s="66">
        <v>1.0</v>
      </c>
      <c r="T40" s="66">
        <v>1.0</v>
      </c>
      <c r="U40" s="66">
        <v>1.0</v>
      </c>
      <c r="V40" s="64">
        <v>1.0</v>
      </c>
      <c r="W40" s="64">
        <v>1.0</v>
      </c>
      <c r="X40" s="64">
        <v>1.0</v>
      </c>
      <c r="Y40" s="64">
        <v>1.0</v>
      </c>
      <c r="Z40" s="64">
        <v>1.0</v>
      </c>
      <c r="AA40" s="61">
        <v>1.0</v>
      </c>
      <c r="AB40" s="61">
        <v>1.0</v>
      </c>
      <c r="AC40" s="67"/>
      <c r="AD40" s="68"/>
      <c r="AE40" s="68"/>
      <c r="AF40" s="68"/>
      <c r="AG40" s="60"/>
      <c r="AH40" s="60"/>
      <c r="AI40" s="60"/>
      <c r="AJ40" s="60"/>
    </row>
    <row r="41">
      <c r="A41" s="51">
        <v>36.0</v>
      </c>
      <c r="B41" s="52" t="s">
        <v>129</v>
      </c>
      <c r="C41" s="52" t="s">
        <v>130</v>
      </c>
      <c r="D41" s="52" t="s">
        <v>197</v>
      </c>
      <c r="E41" s="53">
        <f t="shared" si="3"/>
        <v>1</v>
      </c>
      <c r="F41" s="54" t="str">
        <f t="shared" si="4"/>
        <v>OKAY</v>
      </c>
      <c r="G41" s="55">
        <v>1.0</v>
      </c>
      <c r="H41" s="55">
        <v>1.0</v>
      </c>
      <c r="I41" s="55">
        <v>1.0</v>
      </c>
      <c r="J41" s="56">
        <v>1.0</v>
      </c>
      <c r="K41" s="56">
        <v>1.0</v>
      </c>
      <c r="L41" s="57">
        <v>0.0</v>
      </c>
      <c r="M41" s="56">
        <v>1.0</v>
      </c>
      <c r="N41" s="56">
        <v>1.0</v>
      </c>
      <c r="O41" s="57">
        <v>1.0</v>
      </c>
      <c r="P41" s="56">
        <v>1.0</v>
      </c>
      <c r="Q41" s="56">
        <v>1.0</v>
      </c>
      <c r="R41" s="56">
        <v>1.0</v>
      </c>
      <c r="S41" s="56">
        <v>1.0</v>
      </c>
      <c r="T41" s="56">
        <v>1.0</v>
      </c>
      <c r="U41" s="56">
        <v>1.0</v>
      </c>
      <c r="V41" s="55">
        <v>1.0</v>
      </c>
      <c r="W41" s="55">
        <v>1.0</v>
      </c>
      <c r="X41" s="55">
        <v>1.0</v>
      </c>
      <c r="Y41" s="55">
        <v>1.0</v>
      </c>
      <c r="Z41" s="55">
        <v>1.0</v>
      </c>
      <c r="AA41" s="51">
        <v>1.0</v>
      </c>
      <c r="AB41" s="51">
        <v>1.0</v>
      </c>
      <c r="AC41" s="59"/>
      <c r="AD41" s="59"/>
      <c r="AE41" s="59"/>
      <c r="AF41" s="59"/>
      <c r="AG41" s="60"/>
      <c r="AH41" s="60"/>
      <c r="AI41" s="60"/>
      <c r="AJ41" s="60"/>
    </row>
    <row r="42">
      <c r="A42" s="61">
        <v>37.0</v>
      </c>
      <c r="B42" s="70" t="s">
        <v>122</v>
      </c>
      <c r="C42" s="52" t="s">
        <v>123</v>
      </c>
      <c r="D42" s="52" t="s">
        <v>198</v>
      </c>
      <c r="E42" s="62">
        <f t="shared" si="3"/>
        <v>1</v>
      </c>
      <c r="F42" s="63" t="str">
        <f t="shared" si="4"/>
        <v>OKAY</v>
      </c>
      <c r="G42" s="64">
        <v>1.0</v>
      </c>
      <c r="H42" s="64">
        <v>1.0</v>
      </c>
      <c r="I42" s="64">
        <v>1.0</v>
      </c>
      <c r="J42" s="66">
        <v>1.0</v>
      </c>
      <c r="K42" s="66">
        <v>1.0</v>
      </c>
      <c r="L42" s="66">
        <v>1.0</v>
      </c>
      <c r="M42" s="66">
        <v>1.0</v>
      </c>
      <c r="N42" s="66">
        <v>1.0</v>
      </c>
      <c r="O42" s="65">
        <v>1.0</v>
      </c>
      <c r="P42" s="66">
        <v>1.0</v>
      </c>
      <c r="Q42" s="66">
        <v>1.0</v>
      </c>
      <c r="R42" s="66">
        <v>1.0</v>
      </c>
      <c r="S42" s="66">
        <v>1.0</v>
      </c>
      <c r="T42" s="65">
        <v>0.0</v>
      </c>
      <c r="U42" s="66">
        <v>1.0</v>
      </c>
      <c r="V42" s="64">
        <v>1.0</v>
      </c>
      <c r="W42" s="64">
        <v>1.0</v>
      </c>
      <c r="X42" s="64">
        <v>1.0</v>
      </c>
      <c r="Y42" s="64">
        <v>1.0</v>
      </c>
      <c r="Z42" s="64">
        <v>1.0</v>
      </c>
      <c r="AA42" s="61">
        <v>1.0</v>
      </c>
      <c r="AB42" s="61">
        <v>1.0</v>
      </c>
      <c r="AC42" s="68"/>
      <c r="AD42" s="68"/>
      <c r="AE42" s="68"/>
      <c r="AF42" s="68"/>
      <c r="AG42" s="60"/>
      <c r="AH42" s="60"/>
      <c r="AI42" s="60"/>
      <c r="AJ42" s="60"/>
    </row>
    <row r="43">
      <c r="A43" s="51">
        <v>39.0</v>
      </c>
      <c r="B43" s="59"/>
      <c r="C43" s="58"/>
      <c r="D43" s="58"/>
      <c r="E43" s="53">
        <f t="shared" si="3"/>
        <v>0</v>
      </c>
      <c r="F43" s="54" t="str">
        <f t="shared" si="4"/>
        <v>OKAY</v>
      </c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59"/>
      <c r="AB43" s="59"/>
      <c r="AC43" s="59"/>
      <c r="AD43" s="59"/>
      <c r="AE43" s="59"/>
      <c r="AF43" s="59"/>
      <c r="AG43" s="60"/>
      <c r="AH43" s="60"/>
      <c r="AI43" s="60"/>
      <c r="AJ43" s="60"/>
    </row>
    <row r="44">
      <c r="A44" s="61">
        <v>40.0</v>
      </c>
      <c r="B44" s="68"/>
      <c r="C44" s="67"/>
      <c r="D44" s="67"/>
      <c r="E44" s="62">
        <f t="shared" si="3"/>
        <v>0</v>
      </c>
      <c r="F44" s="63" t="str">
        <f t="shared" si="4"/>
        <v>OKAY</v>
      </c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68"/>
      <c r="AB44" s="68"/>
      <c r="AC44" s="68"/>
      <c r="AD44" s="68"/>
      <c r="AE44" s="68"/>
      <c r="AF44" s="68"/>
      <c r="AG44" s="60"/>
      <c r="AH44" s="60"/>
      <c r="AI44" s="60"/>
      <c r="AJ44" s="60"/>
    </row>
    <row r="45">
      <c r="A45" s="51">
        <v>41.0</v>
      </c>
      <c r="B45" s="59"/>
      <c r="C45" s="58"/>
      <c r="D45" s="58"/>
      <c r="E45" s="53">
        <f t="shared" si="3"/>
        <v>0</v>
      </c>
      <c r="F45" s="54" t="str">
        <f t="shared" si="4"/>
        <v>OKAY</v>
      </c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59"/>
      <c r="AB45" s="59"/>
      <c r="AC45" s="59"/>
      <c r="AD45" s="59"/>
      <c r="AE45" s="59"/>
      <c r="AF45" s="59"/>
      <c r="AG45" s="60"/>
      <c r="AH45" s="60"/>
      <c r="AI45" s="60"/>
      <c r="AJ45" s="60"/>
    </row>
    <row r="46">
      <c r="A46" s="61">
        <v>42.0</v>
      </c>
      <c r="B46" s="68"/>
      <c r="C46" s="67"/>
      <c r="D46" s="67"/>
      <c r="E46" s="62">
        <f t="shared" si="3"/>
        <v>0</v>
      </c>
      <c r="F46" s="63" t="str">
        <f t="shared" si="4"/>
        <v>OKAY</v>
      </c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68"/>
      <c r="AB46" s="68"/>
      <c r="AC46" s="68"/>
      <c r="AD46" s="68"/>
      <c r="AE46" s="68"/>
      <c r="AF46" s="68"/>
      <c r="AG46" s="60"/>
      <c r="AH46" s="60"/>
      <c r="AI46" s="60"/>
      <c r="AJ46" s="60"/>
    </row>
    <row r="47">
      <c r="A47" s="51">
        <v>43.0</v>
      </c>
      <c r="B47" s="59"/>
      <c r="C47" s="58"/>
      <c r="D47" s="58"/>
      <c r="E47" s="53">
        <f t="shared" si="3"/>
        <v>0</v>
      </c>
      <c r="F47" s="54" t="str">
        <f t="shared" si="4"/>
        <v>OKAY</v>
      </c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59"/>
      <c r="AB47" s="59"/>
      <c r="AC47" s="59"/>
      <c r="AD47" s="59"/>
      <c r="AE47" s="59"/>
      <c r="AF47" s="59"/>
      <c r="AG47" s="60"/>
      <c r="AH47" s="60"/>
      <c r="AI47" s="60"/>
      <c r="AJ47" s="60"/>
    </row>
    <row r="48">
      <c r="A48" s="61">
        <v>44.0</v>
      </c>
      <c r="B48" s="68"/>
      <c r="C48" s="67"/>
      <c r="D48" s="67"/>
      <c r="E48" s="62">
        <f t="shared" si="3"/>
        <v>0</v>
      </c>
      <c r="F48" s="63" t="str">
        <f t="shared" si="4"/>
        <v>OKAY</v>
      </c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68"/>
      <c r="AB48" s="68"/>
      <c r="AC48" s="68"/>
      <c r="AD48" s="68"/>
      <c r="AE48" s="68"/>
      <c r="AF48" s="68"/>
      <c r="AG48" s="60"/>
      <c r="AH48" s="60"/>
      <c r="AI48" s="60"/>
      <c r="AJ48" s="60"/>
    </row>
    <row r="49">
      <c r="A49" s="51">
        <v>45.0</v>
      </c>
      <c r="B49" s="59"/>
      <c r="C49" s="58"/>
      <c r="D49" s="58"/>
      <c r="E49" s="53">
        <f t="shared" si="3"/>
        <v>0</v>
      </c>
      <c r="F49" s="54" t="str">
        <f t="shared" si="4"/>
        <v>OKAY</v>
      </c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59"/>
      <c r="AB49" s="59"/>
      <c r="AC49" s="59"/>
      <c r="AD49" s="59"/>
      <c r="AE49" s="59"/>
      <c r="AF49" s="59"/>
      <c r="AG49" s="60"/>
      <c r="AH49" s="60"/>
      <c r="AI49" s="60"/>
      <c r="AJ49" s="60"/>
    </row>
    <row r="50">
      <c r="A50" s="61">
        <v>46.0</v>
      </c>
      <c r="B50" s="68"/>
      <c r="C50" s="67"/>
      <c r="D50" s="67"/>
      <c r="E50" s="62">
        <f t="shared" si="3"/>
        <v>0</v>
      </c>
      <c r="F50" s="63" t="str">
        <f t="shared" si="4"/>
        <v>OKAY</v>
      </c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68"/>
      <c r="AB50" s="68"/>
      <c r="AC50" s="68"/>
      <c r="AD50" s="68"/>
      <c r="AE50" s="68"/>
      <c r="AF50" s="68"/>
      <c r="AG50" s="60"/>
      <c r="AH50" s="60"/>
      <c r="AI50" s="60"/>
      <c r="AJ50" s="60"/>
    </row>
    <row r="51">
      <c r="A51" s="51">
        <v>47.0</v>
      </c>
      <c r="B51" s="59"/>
      <c r="C51" s="58"/>
      <c r="D51" s="58"/>
      <c r="E51" s="53">
        <f t="shared" si="3"/>
        <v>0</v>
      </c>
      <c r="F51" s="54" t="str">
        <f t="shared" si="4"/>
        <v>OKAY</v>
      </c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59"/>
      <c r="AB51" s="59"/>
      <c r="AC51" s="59"/>
      <c r="AD51" s="59"/>
      <c r="AE51" s="59"/>
      <c r="AF51" s="59"/>
      <c r="AG51" s="60"/>
      <c r="AH51" s="60"/>
      <c r="AI51" s="60"/>
      <c r="AJ51" s="60"/>
    </row>
  </sheetData>
  <mergeCells count="6">
    <mergeCell ref="A4:A6"/>
    <mergeCell ref="B4:B6"/>
    <mergeCell ref="C4:C6"/>
    <mergeCell ref="D4:D6"/>
    <mergeCell ref="E4:E6"/>
    <mergeCell ref="F4:F6"/>
  </mergeCells>
  <conditionalFormatting sqref="A1:A51 B1:D6 E1:F51 G1:Z6 AA4:AF6">
    <cfRule type="expression" dxfId="1" priority="1">
      <formula>$F1="BARRED"</formula>
    </cfRule>
  </conditionalFormatting>
  <conditionalFormatting sqref="E7:F15 E17:F51">
    <cfRule type="cellIs" dxfId="2" priority="2" operator="lessThan">
      <formula>7</formula>
    </cfRule>
  </conditionalFormatting>
  <conditionalFormatting sqref="E7:F15 E17:F51">
    <cfRule type="cellIs" dxfId="3" priority="3" operator="equal">
      <formula>7</formula>
    </cfRule>
  </conditionalFormatting>
  <conditionalFormatting sqref="E7:F15 E17:F51">
    <cfRule type="cellIs" dxfId="1" priority="4" operator="greaterThan">
      <formula>7</formula>
    </cfRule>
  </conditionalFormatting>
  <conditionalFormatting sqref="F4:F15 F17:F51">
    <cfRule type="cellIs" dxfId="3" priority="5" operator="equal">
      <formula>"WARNING"</formula>
    </cfRule>
  </conditionalFormatting>
  <conditionalFormatting sqref="F4:F15 F17:F51">
    <cfRule type="cellIs" dxfId="2" priority="6" operator="equal">
      <formula>"OKAY"</formula>
    </cfRule>
  </conditionalFormatting>
  <conditionalFormatting sqref="AF10">
    <cfRule type="notContainsBlanks" dxfId="4" priority="7">
      <formula>LEN(TRIM(AF10))&gt;0</formula>
    </cfRule>
  </conditionalFormatting>
  <dataValidations>
    <dataValidation type="custom" allowBlank="1" showDropDown="1" showInputMessage="1" prompt="Enter a valid date" sqref="G5:AF5">
      <formula1>OR(NOT(ISERROR(DATEVALUE(G5))), AND(ISNUMBER(G5), LEFT(CELL("format", G5))="D"))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25"/>
    <col hidden="1" min="30" max="30" width="12.63"/>
  </cols>
  <sheetData>
    <row r="1">
      <c r="A1" s="4" t="s">
        <v>5</v>
      </c>
      <c r="B1" s="6" t="s">
        <v>1</v>
      </c>
      <c r="C1" s="6" t="s">
        <v>13</v>
      </c>
      <c r="D1" s="6" t="s">
        <v>15</v>
      </c>
      <c r="E1" s="6" t="s">
        <v>16</v>
      </c>
      <c r="F1" s="6" t="s">
        <v>18</v>
      </c>
      <c r="G1" s="6" t="s">
        <v>19</v>
      </c>
      <c r="H1" s="6" t="s">
        <v>21</v>
      </c>
      <c r="I1" s="6" t="s">
        <v>22</v>
      </c>
      <c r="J1" s="6" t="s">
        <v>24</v>
      </c>
      <c r="K1" s="6" t="s">
        <v>25</v>
      </c>
      <c r="L1" s="6" t="s">
        <v>27</v>
      </c>
      <c r="M1" s="6" t="s">
        <v>28</v>
      </c>
      <c r="N1" s="6" t="s">
        <v>29</v>
      </c>
      <c r="O1" s="6" t="s">
        <v>30</v>
      </c>
      <c r="P1" s="6" t="s">
        <v>31</v>
      </c>
      <c r="Q1" s="6" t="s">
        <v>32</v>
      </c>
      <c r="R1" s="6" t="s">
        <v>33</v>
      </c>
      <c r="S1" s="6" t="s">
        <v>34</v>
      </c>
      <c r="T1" s="6" t="s">
        <v>35</v>
      </c>
      <c r="U1" s="6" t="s">
        <v>36</v>
      </c>
      <c r="V1" s="6" t="s">
        <v>37</v>
      </c>
      <c r="W1" s="6" t="s">
        <v>39</v>
      </c>
      <c r="X1" s="6" t="s">
        <v>40</v>
      </c>
      <c r="Y1" s="6" t="s">
        <v>41</v>
      </c>
      <c r="Z1" s="6" t="s">
        <v>42</v>
      </c>
      <c r="AA1" s="6" t="s">
        <v>44</v>
      </c>
      <c r="AB1" s="6" t="s">
        <v>45</v>
      </c>
      <c r="AC1" s="6" t="s">
        <v>46</v>
      </c>
      <c r="AD1" s="6" t="s">
        <v>48</v>
      </c>
      <c r="AE1" s="6" t="s">
        <v>50</v>
      </c>
    </row>
    <row r="2">
      <c r="A2" s="4" t="s">
        <v>51</v>
      </c>
      <c r="B2" s="16" t="s">
        <v>52</v>
      </c>
      <c r="C2" s="16" t="s">
        <v>54</v>
      </c>
      <c r="D2" s="16" t="s">
        <v>55</v>
      </c>
      <c r="E2" s="16" t="s">
        <v>55</v>
      </c>
      <c r="F2" s="16" t="s">
        <v>55</v>
      </c>
      <c r="G2" s="16" t="s">
        <v>55</v>
      </c>
      <c r="H2" s="16" t="s">
        <v>55</v>
      </c>
      <c r="I2" s="16" t="s">
        <v>55</v>
      </c>
      <c r="J2" s="16" t="s">
        <v>55</v>
      </c>
      <c r="K2" s="16" t="s">
        <v>55</v>
      </c>
      <c r="L2" s="16" t="s">
        <v>55</v>
      </c>
      <c r="M2" s="16" t="s">
        <v>55</v>
      </c>
      <c r="N2" s="16" t="s">
        <v>57</v>
      </c>
      <c r="O2" s="16" t="s">
        <v>57</v>
      </c>
      <c r="P2" s="16" t="s">
        <v>55</v>
      </c>
      <c r="Q2" s="16" t="s">
        <v>55</v>
      </c>
      <c r="R2" s="16" t="s">
        <v>55</v>
      </c>
      <c r="S2" s="16" t="s">
        <v>57</v>
      </c>
      <c r="T2" s="16" t="s">
        <v>55</v>
      </c>
      <c r="U2" s="16" t="s">
        <v>57</v>
      </c>
      <c r="V2" s="16" t="s">
        <v>57</v>
      </c>
      <c r="W2" s="16" t="s">
        <v>57</v>
      </c>
      <c r="X2" s="16" t="s">
        <v>55</v>
      </c>
      <c r="Y2" s="16" t="s">
        <v>55</v>
      </c>
      <c r="Z2" s="16" t="s">
        <v>55</v>
      </c>
      <c r="AA2" s="16" t="s">
        <v>55</v>
      </c>
      <c r="AB2" s="20">
        <v>18.0</v>
      </c>
      <c r="AC2" s="20">
        <v>6.0</v>
      </c>
      <c r="AD2" s="20">
        <v>0.0</v>
      </c>
      <c r="AE2" s="20">
        <v>75.0</v>
      </c>
    </row>
    <row r="3">
      <c r="A3" s="4" t="s">
        <v>61</v>
      </c>
      <c r="B3" s="4" t="s">
        <v>62</v>
      </c>
      <c r="C3" s="4" t="s">
        <v>63</v>
      </c>
      <c r="D3" s="4" t="s">
        <v>55</v>
      </c>
      <c r="E3" s="4" t="s">
        <v>55</v>
      </c>
      <c r="F3" s="4" t="s">
        <v>55</v>
      </c>
      <c r="G3" s="4" t="s">
        <v>55</v>
      </c>
      <c r="H3" s="4" t="s">
        <v>55</v>
      </c>
      <c r="I3" s="4" t="s">
        <v>55</v>
      </c>
      <c r="J3" s="4" t="s">
        <v>55</v>
      </c>
      <c r="K3" s="4" t="s">
        <v>55</v>
      </c>
      <c r="L3" s="4" t="s">
        <v>55</v>
      </c>
      <c r="M3" s="4" t="s">
        <v>55</v>
      </c>
      <c r="N3" s="4" t="s">
        <v>57</v>
      </c>
      <c r="O3" s="4" t="s">
        <v>57</v>
      </c>
      <c r="P3" s="4" t="s">
        <v>55</v>
      </c>
      <c r="Q3" s="4" t="s">
        <v>55</v>
      </c>
      <c r="R3" s="4" t="s">
        <v>55</v>
      </c>
      <c r="S3" s="4" t="s">
        <v>55</v>
      </c>
      <c r="T3" s="4" t="s">
        <v>55</v>
      </c>
      <c r="U3" s="4" t="s">
        <v>57</v>
      </c>
      <c r="V3" s="4" t="s">
        <v>55</v>
      </c>
      <c r="W3" s="4" t="s">
        <v>57</v>
      </c>
      <c r="X3" s="4" t="s">
        <v>55</v>
      </c>
      <c r="Y3" s="4" t="s">
        <v>57</v>
      </c>
      <c r="Z3" s="4" t="s">
        <v>55</v>
      </c>
      <c r="AA3" s="4" t="s">
        <v>55</v>
      </c>
      <c r="AB3" s="29">
        <v>19.0</v>
      </c>
      <c r="AC3" s="29">
        <v>5.0</v>
      </c>
      <c r="AD3" s="29">
        <v>0.0</v>
      </c>
      <c r="AE3" s="29">
        <v>79.0</v>
      </c>
    </row>
    <row r="4">
      <c r="A4" s="4" t="s">
        <v>70</v>
      </c>
      <c r="B4" s="6" t="s">
        <v>71</v>
      </c>
      <c r="C4" s="6" t="s">
        <v>63</v>
      </c>
      <c r="D4" s="6" t="s">
        <v>55</v>
      </c>
      <c r="E4" s="6" t="s">
        <v>55</v>
      </c>
      <c r="F4" s="6" t="s">
        <v>55</v>
      </c>
      <c r="G4" s="6" t="s">
        <v>55</v>
      </c>
      <c r="H4" s="6" t="s">
        <v>57</v>
      </c>
      <c r="I4" s="6" t="s">
        <v>55</v>
      </c>
      <c r="J4" s="6" t="s">
        <v>55</v>
      </c>
      <c r="K4" s="6" t="s">
        <v>55</v>
      </c>
      <c r="L4" s="4" t="s">
        <v>55</v>
      </c>
      <c r="M4" s="6" t="s">
        <v>55</v>
      </c>
      <c r="N4" s="6" t="s">
        <v>55</v>
      </c>
      <c r="O4" s="6" t="s">
        <v>57</v>
      </c>
      <c r="P4" s="4" t="s">
        <v>57</v>
      </c>
      <c r="Q4" s="6" t="s">
        <v>55</v>
      </c>
      <c r="R4" s="6" t="s">
        <v>55</v>
      </c>
      <c r="S4" s="6" t="s">
        <v>55</v>
      </c>
      <c r="T4" s="6" t="s">
        <v>55</v>
      </c>
      <c r="U4" s="6" t="s">
        <v>55</v>
      </c>
      <c r="V4" s="6" t="s">
        <v>57</v>
      </c>
      <c r="W4" s="6" t="s">
        <v>57</v>
      </c>
      <c r="X4" s="6" t="s">
        <v>55</v>
      </c>
      <c r="Y4" s="6" t="s">
        <v>55</v>
      </c>
      <c r="Z4" s="6" t="s">
        <v>55</v>
      </c>
      <c r="AA4" s="6" t="s">
        <v>55</v>
      </c>
      <c r="AB4" s="30">
        <v>19.0</v>
      </c>
      <c r="AC4" s="30">
        <v>5.0</v>
      </c>
      <c r="AD4" s="30">
        <v>0.0</v>
      </c>
      <c r="AE4" s="30">
        <v>79.0</v>
      </c>
    </row>
    <row r="5">
      <c r="A5" s="4" t="s">
        <v>84</v>
      </c>
      <c r="B5" s="6" t="s">
        <v>85</v>
      </c>
      <c r="C5" s="6" t="s">
        <v>63</v>
      </c>
      <c r="D5" s="6" t="s">
        <v>55</v>
      </c>
      <c r="E5" s="4" t="s">
        <v>55</v>
      </c>
      <c r="F5" s="4" t="s">
        <v>55</v>
      </c>
      <c r="G5" s="4" t="s">
        <v>55</v>
      </c>
      <c r="H5" s="4" t="s">
        <v>55</v>
      </c>
      <c r="I5" s="4" t="s">
        <v>55</v>
      </c>
      <c r="J5" s="6" t="s">
        <v>55</v>
      </c>
      <c r="K5" s="4" t="s">
        <v>55</v>
      </c>
      <c r="L5" s="6" t="s">
        <v>55</v>
      </c>
      <c r="M5" s="4" t="s">
        <v>55</v>
      </c>
      <c r="N5" s="4" t="s">
        <v>55</v>
      </c>
      <c r="O5" s="4" t="s">
        <v>55</v>
      </c>
      <c r="P5" s="4" t="s">
        <v>55</v>
      </c>
      <c r="Q5" s="6" t="s">
        <v>55</v>
      </c>
      <c r="R5" s="6" t="s">
        <v>55</v>
      </c>
      <c r="S5" s="6" t="s">
        <v>55</v>
      </c>
      <c r="T5" s="6" t="s">
        <v>55</v>
      </c>
      <c r="U5" s="6" t="s">
        <v>57</v>
      </c>
      <c r="V5" s="6" t="s">
        <v>57</v>
      </c>
      <c r="W5" s="6" t="s">
        <v>57</v>
      </c>
      <c r="X5" s="6" t="s">
        <v>57</v>
      </c>
      <c r="Y5" s="6" t="s">
        <v>55</v>
      </c>
      <c r="Z5" s="6" t="s">
        <v>55</v>
      </c>
      <c r="AA5" s="6" t="s">
        <v>55</v>
      </c>
      <c r="AB5" s="30">
        <v>20.0</v>
      </c>
      <c r="AC5" s="30">
        <v>4.0</v>
      </c>
      <c r="AD5" s="30">
        <v>0.0</v>
      </c>
      <c r="AE5" s="30">
        <v>83.0</v>
      </c>
    </row>
    <row r="6">
      <c r="A6" s="4" t="s">
        <v>94</v>
      </c>
      <c r="B6" s="6" t="s">
        <v>95</v>
      </c>
      <c r="C6" s="6" t="s">
        <v>63</v>
      </c>
      <c r="D6" s="6" t="s">
        <v>55</v>
      </c>
      <c r="E6" s="6" t="s">
        <v>55</v>
      </c>
      <c r="F6" s="4" t="s">
        <v>55</v>
      </c>
      <c r="G6" s="4" t="s">
        <v>55</v>
      </c>
      <c r="H6" s="6" t="s">
        <v>55</v>
      </c>
      <c r="I6" s="6" t="s">
        <v>55</v>
      </c>
      <c r="J6" s="6" t="s">
        <v>55</v>
      </c>
      <c r="K6" s="4" t="s">
        <v>55</v>
      </c>
      <c r="L6" s="4" t="s">
        <v>55</v>
      </c>
      <c r="M6" s="6" t="s">
        <v>55</v>
      </c>
      <c r="N6" s="4" t="s">
        <v>55</v>
      </c>
      <c r="O6" s="4" t="s">
        <v>55</v>
      </c>
      <c r="P6" s="4" t="s">
        <v>55</v>
      </c>
      <c r="Q6" s="6" t="s">
        <v>55</v>
      </c>
      <c r="R6" s="6" t="s">
        <v>55</v>
      </c>
      <c r="S6" s="6" t="s">
        <v>57</v>
      </c>
      <c r="T6" s="6" t="s">
        <v>55</v>
      </c>
      <c r="U6" s="6" t="s">
        <v>57</v>
      </c>
      <c r="V6" s="6" t="s">
        <v>55</v>
      </c>
      <c r="W6" s="6" t="s">
        <v>57</v>
      </c>
      <c r="X6" s="6" t="s">
        <v>55</v>
      </c>
      <c r="Y6" s="6" t="s">
        <v>57</v>
      </c>
      <c r="Z6" s="6" t="s">
        <v>55</v>
      </c>
      <c r="AA6" s="6" t="s">
        <v>55</v>
      </c>
      <c r="AB6" s="30">
        <v>20.0</v>
      </c>
      <c r="AC6" s="30">
        <v>4.0</v>
      </c>
      <c r="AD6" s="30">
        <v>0.0</v>
      </c>
      <c r="AE6" s="30">
        <v>83.0</v>
      </c>
    </row>
    <row r="7">
      <c r="A7" s="4" t="s">
        <v>98</v>
      </c>
      <c r="B7" s="6" t="s">
        <v>99</v>
      </c>
      <c r="C7" s="6" t="s">
        <v>63</v>
      </c>
      <c r="D7" s="6" t="s">
        <v>55</v>
      </c>
      <c r="E7" s="4" t="s">
        <v>55</v>
      </c>
      <c r="F7" s="4" t="s">
        <v>55</v>
      </c>
      <c r="G7" s="4" t="s">
        <v>55</v>
      </c>
      <c r="H7" s="4" t="s">
        <v>57</v>
      </c>
      <c r="I7" s="6" t="s">
        <v>55</v>
      </c>
      <c r="J7" s="6" t="s">
        <v>57</v>
      </c>
      <c r="K7" s="6" t="s">
        <v>55</v>
      </c>
      <c r="L7" s="4" t="s">
        <v>57</v>
      </c>
      <c r="M7" s="4" t="s">
        <v>55</v>
      </c>
      <c r="N7" s="4" t="s">
        <v>55</v>
      </c>
      <c r="O7" s="6" t="s">
        <v>55</v>
      </c>
      <c r="P7" s="4" t="s">
        <v>55</v>
      </c>
      <c r="Q7" s="6" t="s">
        <v>55</v>
      </c>
      <c r="R7" s="6" t="s">
        <v>55</v>
      </c>
      <c r="S7" s="6" t="s">
        <v>55</v>
      </c>
      <c r="T7" s="6" t="s">
        <v>55</v>
      </c>
      <c r="U7" s="6" t="s">
        <v>55</v>
      </c>
      <c r="V7" s="6" t="s">
        <v>55</v>
      </c>
      <c r="W7" s="6" t="s">
        <v>55</v>
      </c>
      <c r="X7" s="6" t="s">
        <v>55</v>
      </c>
      <c r="Y7" s="6" t="s">
        <v>55</v>
      </c>
      <c r="Z7" s="6" t="s">
        <v>55</v>
      </c>
      <c r="AA7" s="6" t="s">
        <v>55</v>
      </c>
      <c r="AB7" s="30">
        <v>21.0</v>
      </c>
      <c r="AC7" s="30">
        <v>3.0</v>
      </c>
      <c r="AD7" s="30">
        <v>0.0</v>
      </c>
      <c r="AE7" s="30">
        <v>88.0</v>
      </c>
    </row>
    <row r="8">
      <c r="A8" s="4" t="s">
        <v>102</v>
      </c>
      <c r="B8" s="6" t="s">
        <v>103</v>
      </c>
      <c r="C8" s="6" t="s">
        <v>63</v>
      </c>
      <c r="D8" s="6" t="s">
        <v>55</v>
      </c>
      <c r="E8" s="4" t="s">
        <v>55</v>
      </c>
      <c r="F8" s="6" t="s">
        <v>55</v>
      </c>
      <c r="G8" s="6" t="s">
        <v>55</v>
      </c>
      <c r="H8" s="6" t="s">
        <v>55</v>
      </c>
      <c r="I8" s="6" t="s">
        <v>55</v>
      </c>
      <c r="J8" s="6" t="s">
        <v>55</v>
      </c>
      <c r="K8" s="6" t="s">
        <v>55</v>
      </c>
      <c r="L8" s="6" t="s">
        <v>55</v>
      </c>
      <c r="M8" s="6" t="s">
        <v>55</v>
      </c>
      <c r="N8" s="6" t="s">
        <v>55</v>
      </c>
      <c r="O8" s="6" t="s">
        <v>57</v>
      </c>
      <c r="P8" s="4" t="s">
        <v>57</v>
      </c>
      <c r="Q8" s="6" t="s">
        <v>55</v>
      </c>
      <c r="R8" s="6" t="s">
        <v>55</v>
      </c>
      <c r="S8" s="6" t="s">
        <v>57</v>
      </c>
      <c r="T8" s="6" t="s">
        <v>55</v>
      </c>
      <c r="U8" s="6" t="s">
        <v>57</v>
      </c>
      <c r="V8" s="6" t="s">
        <v>57</v>
      </c>
      <c r="W8" s="6" t="s">
        <v>55</v>
      </c>
      <c r="X8" s="6" t="s">
        <v>55</v>
      </c>
      <c r="Y8" s="6" t="s">
        <v>55</v>
      </c>
      <c r="Z8" s="6" t="s">
        <v>55</v>
      </c>
      <c r="AA8" s="6" t="s">
        <v>55</v>
      </c>
      <c r="AB8" s="30">
        <v>19.0</v>
      </c>
      <c r="AC8" s="30">
        <v>5.0</v>
      </c>
      <c r="AD8" s="30">
        <v>0.0</v>
      </c>
      <c r="AE8" s="30">
        <v>79.0</v>
      </c>
    </row>
    <row r="9">
      <c r="A9" s="38" t="s">
        <v>104</v>
      </c>
      <c r="B9" s="39" t="s">
        <v>105</v>
      </c>
      <c r="C9" s="39" t="s">
        <v>106</v>
      </c>
      <c r="D9" s="39" t="s">
        <v>55</v>
      </c>
      <c r="E9" s="39" t="s">
        <v>55</v>
      </c>
      <c r="F9" s="38" t="s">
        <v>55</v>
      </c>
      <c r="G9" s="38" t="s">
        <v>55</v>
      </c>
      <c r="H9" s="38" t="s">
        <v>57</v>
      </c>
      <c r="I9" s="39" t="s">
        <v>55</v>
      </c>
      <c r="J9" s="39" t="s">
        <v>57</v>
      </c>
      <c r="K9" s="39" t="s">
        <v>57</v>
      </c>
      <c r="L9" s="39" t="s">
        <v>57</v>
      </c>
      <c r="M9" s="39" t="s">
        <v>55</v>
      </c>
      <c r="N9" s="38" t="s">
        <v>57</v>
      </c>
      <c r="O9" s="39" t="s">
        <v>55</v>
      </c>
      <c r="P9" s="38" t="s">
        <v>57</v>
      </c>
      <c r="Q9" s="39" t="s">
        <v>55</v>
      </c>
      <c r="R9" s="39" t="s">
        <v>55</v>
      </c>
      <c r="S9" s="39" t="s">
        <v>57</v>
      </c>
      <c r="T9" s="39" t="s">
        <v>55</v>
      </c>
      <c r="U9" s="39" t="s">
        <v>57</v>
      </c>
      <c r="V9" s="39" t="s">
        <v>57</v>
      </c>
      <c r="W9" s="39" t="s">
        <v>57</v>
      </c>
      <c r="X9" s="39" t="s">
        <v>57</v>
      </c>
      <c r="Y9" s="39" t="s">
        <v>55</v>
      </c>
      <c r="Z9" s="39" t="s">
        <v>55</v>
      </c>
      <c r="AA9" s="39" t="s">
        <v>55</v>
      </c>
      <c r="AB9" s="41">
        <v>13.0</v>
      </c>
      <c r="AC9" s="41">
        <v>11.0</v>
      </c>
      <c r="AD9" s="41">
        <v>0.0</v>
      </c>
      <c r="AE9" s="41">
        <v>54.0</v>
      </c>
    </row>
    <row r="10">
      <c r="A10" s="38" t="s">
        <v>110</v>
      </c>
      <c r="B10" s="39" t="s">
        <v>111</v>
      </c>
      <c r="C10" s="39" t="s">
        <v>63</v>
      </c>
      <c r="D10" s="39" t="s">
        <v>55</v>
      </c>
      <c r="E10" s="38" t="s">
        <v>55</v>
      </c>
      <c r="F10" s="38" t="s">
        <v>55</v>
      </c>
      <c r="G10" s="39" t="s">
        <v>55</v>
      </c>
      <c r="H10" s="38" t="s">
        <v>57</v>
      </c>
      <c r="I10" s="39" t="s">
        <v>57</v>
      </c>
      <c r="J10" s="39" t="s">
        <v>57</v>
      </c>
      <c r="K10" s="39" t="s">
        <v>57</v>
      </c>
      <c r="L10" s="38" t="s">
        <v>57</v>
      </c>
      <c r="M10" s="38" t="s">
        <v>55</v>
      </c>
      <c r="N10" s="39" t="s">
        <v>57</v>
      </c>
      <c r="O10" s="39" t="s">
        <v>57</v>
      </c>
      <c r="P10" s="38" t="s">
        <v>57</v>
      </c>
      <c r="Q10" s="39" t="s">
        <v>55</v>
      </c>
      <c r="R10" s="39" t="s">
        <v>55</v>
      </c>
      <c r="S10" s="39" t="s">
        <v>57</v>
      </c>
      <c r="T10" s="39" t="s">
        <v>55</v>
      </c>
      <c r="U10" s="39" t="s">
        <v>55</v>
      </c>
      <c r="V10" s="39" t="s">
        <v>57</v>
      </c>
      <c r="W10" s="39" t="s">
        <v>57</v>
      </c>
      <c r="X10" s="39" t="s">
        <v>57</v>
      </c>
      <c r="Y10" s="39" t="s">
        <v>57</v>
      </c>
      <c r="Z10" s="39" t="s">
        <v>57</v>
      </c>
      <c r="AA10" s="39" t="s">
        <v>55</v>
      </c>
      <c r="AB10" s="41">
        <v>10.0</v>
      </c>
      <c r="AC10" s="41">
        <v>14.0</v>
      </c>
      <c r="AD10" s="41">
        <v>0.0</v>
      </c>
      <c r="AE10" s="41">
        <v>42.0</v>
      </c>
    </row>
    <row r="11">
      <c r="A11" s="4" t="s">
        <v>114</v>
      </c>
      <c r="B11" s="6" t="s">
        <v>115</v>
      </c>
      <c r="C11" s="6" t="s">
        <v>63</v>
      </c>
      <c r="D11" s="6" t="s">
        <v>55</v>
      </c>
      <c r="E11" s="6" t="s">
        <v>55</v>
      </c>
      <c r="F11" s="4" t="s">
        <v>55</v>
      </c>
      <c r="G11" s="4" t="s">
        <v>55</v>
      </c>
      <c r="H11" s="4" t="s">
        <v>55</v>
      </c>
      <c r="I11" s="6" t="s">
        <v>55</v>
      </c>
      <c r="J11" s="6" t="s">
        <v>55</v>
      </c>
      <c r="K11" s="6" t="s">
        <v>55</v>
      </c>
      <c r="L11" s="4" t="s">
        <v>55</v>
      </c>
      <c r="M11" s="4" t="s">
        <v>55</v>
      </c>
      <c r="N11" s="6" t="s">
        <v>55</v>
      </c>
      <c r="O11" s="6" t="s">
        <v>55</v>
      </c>
      <c r="P11" s="4" t="s">
        <v>55</v>
      </c>
      <c r="Q11" s="6" t="s">
        <v>55</v>
      </c>
      <c r="R11" s="6" t="s">
        <v>55</v>
      </c>
      <c r="S11" s="6" t="s">
        <v>55</v>
      </c>
      <c r="T11" s="6" t="s">
        <v>55</v>
      </c>
      <c r="U11" s="6" t="s">
        <v>57</v>
      </c>
      <c r="V11" s="6" t="s">
        <v>57</v>
      </c>
      <c r="W11" s="6" t="s">
        <v>57</v>
      </c>
      <c r="X11" s="6" t="s">
        <v>57</v>
      </c>
      <c r="Y11" s="6" t="s">
        <v>57</v>
      </c>
      <c r="Z11" s="6" t="s">
        <v>57</v>
      </c>
      <c r="AA11" s="6" t="s">
        <v>55</v>
      </c>
      <c r="AB11" s="30">
        <v>18.0</v>
      </c>
      <c r="AC11" s="30">
        <v>6.0</v>
      </c>
      <c r="AD11" s="30">
        <v>0.0</v>
      </c>
      <c r="AE11" s="30">
        <v>75.0</v>
      </c>
    </row>
    <row r="12">
      <c r="A12" s="4" t="s">
        <v>116</v>
      </c>
      <c r="B12" s="6" t="s">
        <v>117</v>
      </c>
      <c r="C12" s="6" t="s">
        <v>106</v>
      </c>
      <c r="D12" s="6" t="s">
        <v>55</v>
      </c>
      <c r="E12" s="6" t="s">
        <v>55</v>
      </c>
      <c r="F12" s="6" t="s">
        <v>55</v>
      </c>
      <c r="G12" s="6" t="s">
        <v>55</v>
      </c>
      <c r="H12" s="6" t="s">
        <v>55</v>
      </c>
      <c r="I12" s="6" t="s">
        <v>55</v>
      </c>
      <c r="J12" s="6" t="s">
        <v>55</v>
      </c>
      <c r="K12" s="6" t="s">
        <v>55</v>
      </c>
      <c r="L12" s="4" t="s">
        <v>55</v>
      </c>
      <c r="M12" s="4" t="s">
        <v>55</v>
      </c>
      <c r="N12" s="6" t="s">
        <v>55</v>
      </c>
      <c r="O12" s="6" t="s">
        <v>57</v>
      </c>
      <c r="P12" s="4" t="s">
        <v>55</v>
      </c>
      <c r="Q12" s="6" t="s">
        <v>55</v>
      </c>
      <c r="R12" s="6" t="s">
        <v>55</v>
      </c>
      <c r="S12" s="6" t="s">
        <v>57</v>
      </c>
      <c r="T12" s="6" t="s">
        <v>55</v>
      </c>
      <c r="U12" s="6" t="s">
        <v>57</v>
      </c>
      <c r="V12" s="6" t="s">
        <v>57</v>
      </c>
      <c r="W12" s="6" t="s">
        <v>57</v>
      </c>
      <c r="X12" s="6" t="s">
        <v>55</v>
      </c>
      <c r="Y12" s="6" t="s">
        <v>55</v>
      </c>
      <c r="Z12" s="6" t="s">
        <v>55</v>
      </c>
      <c r="AA12" s="6" t="s">
        <v>55</v>
      </c>
      <c r="AB12" s="30">
        <v>19.0</v>
      </c>
      <c r="AC12" s="30">
        <v>5.0</v>
      </c>
      <c r="AD12" s="30">
        <v>0.0</v>
      </c>
      <c r="AE12" s="30">
        <v>79.0</v>
      </c>
    </row>
    <row r="13">
      <c r="A13" s="4" t="s">
        <v>120</v>
      </c>
      <c r="B13" s="6" t="s">
        <v>121</v>
      </c>
      <c r="C13" s="6" t="s">
        <v>54</v>
      </c>
      <c r="D13" s="6" t="s">
        <v>55</v>
      </c>
      <c r="E13" s="6" t="s">
        <v>55</v>
      </c>
      <c r="F13" s="4" t="s">
        <v>55</v>
      </c>
      <c r="G13" s="6" t="s">
        <v>55</v>
      </c>
      <c r="H13" s="4" t="s">
        <v>55</v>
      </c>
      <c r="I13" s="6" t="s">
        <v>55</v>
      </c>
      <c r="J13" s="6" t="s">
        <v>55</v>
      </c>
      <c r="K13" s="6" t="s">
        <v>57</v>
      </c>
      <c r="L13" s="6" t="s">
        <v>55</v>
      </c>
      <c r="M13" s="4" t="s">
        <v>55</v>
      </c>
      <c r="N13" s="4" t="s">
        <v>55</v>
      </c>
      <c r="O13" s="6" t="s">
        <v>55</v>
      </c>
      <c r="P13" s="4" t="s">
        <v>55</v>
      </c>
      <c r="Q13" s="6" t="s">
        <v>55</v>
      </c>
      <c r="R13" s="6" t="s">
        <v>55</v>
      </c>
      <c r="S13" s="6" t="s">
        <v>55</v>
      </c>
      <c r="T13" s="6" t="s">
        <v>55</v>
      </c>
      <c r="U13" s="6" t="s">
        <v>55</v>
      </c>
      <c r="V13" s="6" t="s">
        <v>55</v>
      </c>
      <c r="W13" s="6" t="s">
        <v>55</v>
      </c>
      <c r="X13" s="6" t="s">
        <v>55</v>
      </c>
      <c r="Y13" s="6" t="s">
        <v>55</v>
      </c>
      <c r="Z13" s="6" t="s">
        <v>55</v>
      </c>
      <c r="AA13" s="6" t="s">
        <v>55</v>
      </c>
      <c r="AB13" s="30">
        <v>23.0</v>
      </c>
      <c r="AC13" s="30">
        <v>1.0</v>
      </c>
      <c r="AD13" s="30">
        <v>0.0</v>
      </c>
      <c r="AE13" s="30">
        <v>96.0</v>
      </c>
    </row>
    <row r="14">
      <c r="A14" s="4" t="s">
        <v>125</v>
      </c>
      <c r="B14" s="6" t="s">
        <v>126</v>
      </c>
      <c r="C14" s="6" t="s">
        <v>63</v>
      </c>
      <c r="D14" s="6" t="s">
        <v>55</v>
      </c>
      <c r="E14" s="6" t="s">
        <v>55</v>
      </c>
      <c r="F14" s="4" t="s">
        <v>55</v>
      </c>
      <c r="G14" s="6" t="s">
        <v>55</v>
      </c>
      <c r="H14" s="4" t="s">
        <v>55</v>
      </c>
      <c r="I14" s="6" t="s">
        <v>55</v>
      </c>
      <c r="J14" s="6" t="s">
        <v>55</v>
      </c>
      <c r="K14" s="4" t="s">
        <v>55</v>
      </c>
      <c r="L14" s="4" t="s">
        <v>55</v>
      </c>
      <c r="M14" s="4" t="s">
        <v>55</v>
      </c>
      <c r="N14" s="4" t="s">
        <v>55</v>
      </c>
      <c r="O14" s="4" t="s">
        <v>55</v>
      </c>
      <c r="P14" s="4" t="s">
        <v>55</v>
      </c>
      <c r="Q14" s="6" t="s">
        <v>55</v>
      </c>
      <c r="R14" s="6" t="s">
        <v>55</v>
      </c>
      <c r="S14" s="6" t="s">
        <v>57</v>
      </c>
      <c r="T14" s="6" t="s">
        <v>55</v>
      </c>
      <c r="U14" s="6" t="s">
        <v>55</v>
      </c>
      <c r="V14" s="6" t="s">
        <v>57</v>
      </c>
      <c r="W14" s="6" t="s">
        <v>57</v>
      </c>
      <c r="X14" s="6" t="s">
        <v>55</v>
      </c>
      <c r="Y14" s="6" t="s">
        <v>55</v>
      </c>
      <c r="Z14" s="6" t="s">
        <v>55</v>
      </c>
      <c r="AA14" s="6" t="s">
        <v>55</v>
      </c>
      <c r="AB14" s="30">
        <v>21.0</v>
      </c>
      <c r="AC14" s="30">
        <v>3.0</v>
      </c>
      <c r="AD14" s="30">
        <v>0.0</v>
      </c>
      <c r="AE14" s="30">
        <v>88.0</v>
      </c>
    </row>
    <row r="15">
      <c r="A15" s="4" t="s">
        <v>127</v>
      </c>
      <c r="B15" s="6" t="s">
        <v>128</v>
      </c>
      <c r="C15" s="6" t="s">
        <v>54</v>
      </c>
      <c r="D15" s="6" t="s">
        <v>55</v>
      </c>
      <c r="E15" s="6" t="s">
        <v>55</v>
      </c>
      <c r="F15" s="4" t="s">
        <v>55</v>
      </c>
      <c r="G15" s="6" t="s">
        <v>55</v>
      </c>
      <c r="H15" s="4" t="s">
        <v>57</v>
      </c>
      <c r="I15" s="6" t="s">
        <v>55</v>
      </c>
      <c r="J15" s="6" t="s">
        <v>57</v>
      </c>
      <c r="K15" s="6" t="s">
        <v>55</v>
      </c>
      <c r="L15" s="6" t="s">
        <v>57</v>
      </c>
      <c r="M15" s="6" t="s">
        <v>55</v>
      </c>
      <c r="N15" s="6" t="s">
        <v>55</v>
      </c>
      <c r="O15" s="6" t="s">
        <v>55</v>
      </c>
      <c r="P15" s="4" t="s">
        <v>55</v>
      </c>
      <c r="Q15" s="6" t="s">
        <v>55</v>
      </c>
      <c r="R15" s="6" t="s">
        <v>55</v>
      </c>
      <c r="S15" s="6" t="s">
        <v>55</v>
      </c>
      <c r="T15" s="6" t="s">
        <v>55</v>
      </c>
      <c r="U15" s="6" t="s">
        <v>55</v>
      </c>
      <c r="V15" s="6" t="s">
        <v>55</v>
      </c>
      <c r="W15" s="6" t="s">
        <v>55</v>
      </c>
      <c r="X15" s="6" t="s">
        <v>55</v>
      </c>
      <c r="Y15" s="6" t="s">
        <v>57</v>
      </c>
      <c r="Z15" s="6" t="s">
        <v>55</v>
      </c>
      <c r="AA15" s="6" t="s">
        <v>55</v>
      </c>
      <c r="AB15" s="30">
        <v>20.0</v>
      </c>
      <c r="AC15" s="30">
        <v>4.0</v>
      </c>
      <c r="AD15" s="30">
        <v>0.0</v>
      </c>
      <c r="AE15" s="30">
        <v>83.0</v>
      </c>
    </row>
    <row r="16">
      <c r="A16" s="4" t="s">
        <v>131</v>
      </c>
      <c r="B16" s="6" t="s">
        <v>132</v>
      </c>
      <c r="C16" s="6" t="s">
        <v>63</v>
      </c>
      <c r="D16" s="6" t="s">
        <v>55</v>
      </c>
      <c r="E16" s="4" t="s">
        <v>55</v>
      </c>
      <c r="F16" s="4" t="s">
        <v>55</v>
      </c>
      <c r="G16" s="4" t="s">
        <v>55</v>
      </c>
      <c r="H16" s="4" t="s">
        <v>55</v>
      </c>
      <c r="I16" s="6" t="s">
        <v>55</v>
      </c>
      <c r="J16" s="6" t="s">
        <v>55</v>
      </c>
      <c r="K16" s="6" t="s">
        <v>55</v>
      </c>
      <c r="L16" s="6" t="s">
        <v>55</v>
      </c>
      <c r="M16" s="6" t="s">
        <v>55</v>
      </c>
      <c r="N16" s="6" t="s">
        <v>55</v>
      </c>
      <c r="O16" s="4" t="s">
        <v>55</v>
      </c>
      <c r="P16" s="6" t="s">
        <v>55</v>
      </c>
      <c r="Q16" s="6" t="s">
        <v>55</v>
      </c>
      <c r="R16" s="6" t="s">
        <v>55</v>
      </c>
      <c r="S16" s="6" t="s">
        <v>57</v>
      </c>
      <c r="T16" s="6" t="s">
        <v>55</v>
      </c>
      <c r="U16" s="6" t="s">
        <v>55</v>
      </c>
      <c r="V16" s="6" t="s">
        <v>57</v>
      </c>
      <c r="W16" s="6" t="s">
        <v>57</v>
      </c>
      <c r="X16" s="6" t="s">
        <v>57</v>
      </c>
      <c r="Y16" s="6" t="s">
        <v>57</v>
      </c>
      <c r="Z16" s="6" t="s">
        <v>55</v>
      </c>
      <c r="AA16" s="6" t="s">
        <v>55</v>
      </c>
      <c r="AB16" s="30">
        <v>19.0</v>
      </c>
      <c r="AC16" s="30">
        <v>5.0</v>
      </c>
      <c r="AD16" s="30">
        <v>0.0</v>
      </c>
      <c r="AE16" s="30">
        <v>79.0</v>
      </c>
    </row>
    <row r="17">
      <c r="A17" s="4" t="s">
        <v>135</v>
      </c>
      <c r="B17" s="6" t="s">
        <v>136</v>
      </c>
      <c r="C17" s="6" t="s">
        <v>63</v>
      </c>
      <c r="D17" s="6" t="s">
        <v>55</v>
      </c>
      <c r="E17" s="6" t="s">
        <v>55</v>
      </c>
      <c r="F17" s="4" t="s">
        <v>55</v>
      </c>
      <c r="G17" s="6" t="s">
        <v>55</v>
      </c>
      <c r="H17" s="6" t="s">
        <v>55</v>
      </c>
      <c r="I17" s="6" t="s">
        <v>55</v>
      </c>
      <c r="J17" s="6" t="s">
        <v>55</v>
      </c>
      <c r="K17" s="6" t="s">
        <v>55</v>
      </c>
      <c r="L17" s="4" t="s">
        <v>55</v>
      </c>
      <c r="M17" s="6" t="s">
        <v>55</v>
      </c>
      <c r="N17" s="6" t="s">
        <v>55</v>
      </c>
      <c r="O17" s="6" t="s">
        <v>55</v>
      </c>
      <c r="P17" s="4" t="s">
        <v>55</v>
      </c>
      <c r="Q17" s="6" t="s">
        <v>55</v>
      </c>
      <c r="R17" s="6" t="s">
        <v>55</v>
      </c>
      <c r="S17" s="6" t="s">
        <v>57</v>
      </c>
      <c r="T17" s="6" t="s">
        <v>55</v>
      </c>
      <c r="U17" s="6" t="s">
        <v>55</v>
      </c>
      <c r="V17" s="6" t="s">
        <v>55</v>
      </c>
      <c r="W17" s="6" t="s">
        <v>55</v>
      </c>
      <c r="X17" s="6" t="s">
        <v>55</v>
      </c>
      <c r="Y17" s="6" t="s">
        <v>55</v>
      </c>
      <c r="Z17" s="6" t="s">
        <v>55</v>
      </c>
      <c r="AA17" s="6" t="s">
        <v>55</v>
      </c>
      <c r="AB17" s="30">
        <v>23.0</v>
      </c>
      <c r="AC17" s="30">
        <v>1.0</v>
      </c>
      <c r="AD17" s="30">
        <v>0.0</v>
      </c>
      <c r="AE17" s="30">
        <v>96.0</v>
      </c>
    </row>
    <row r="18">
      <c r="A18" s="4" t="s">
        <v>138</v>
      </c>
      <c r="B18" s="6" t="s">
        <v>139</v>
      </c>
      <c r="C18" s="6" t="s">
        <v>63</v>
      </c>
      <c r="D18" s="6" t="s">
        <v>55</v>
      </c>
      <c r="E18" s="6" t="s">
        <v>55</v>
      </c>
      <c r="F18" s="6" t="s">
        <v>55</v>
      </c>
      <c r="G18" s="6" t="s">
        <v>55</v>
      </c>
      <c r="H18" s="6" t="s">
        <v>55</v>
      </c>
      <c r="I18" s="6" t="s">
        <v>55</v>
      </c>
      <c r="J18" s="6" t="s">
        <v>55</v>
      </c>
      <c r="K18" s="6" t="s">
        <v>55</v>
      </c>
      <c r="L18" s="6" t="s">
        <v>55</v>
      </c>
      <c r="M18" s="6" t="s">
        <v>55</v>
      </c>
      <c r="N18" s="6" t="s">
        <v>55</v>
      </c>
      <c r="O18" s="6" t="s">
        <v>55</v>
      </c>
      <c r="P18" s="4" t="s">
        <v>55</v>
      </c>
      <c r="Q18" s="6" t="s">
        <v>55</v>
      </c>
      <c r="R18" s="6" t="s">
        <v>55</v>
      </c>
      <c r="S18" s="6" t="s">
        <v>57</v>
      </c>
      <c r="T18" s="6" t="s">
        <v>55</v>
      </c>
      <c r="U18" s="6" t="s">
        <v>57</v>
      </c>
      <c r="V18" s="6" t="s">
        <v>55</v>
      </c>
      <c r="W18" s="6" t="s">
        <v>55</v>
      </c>
      <c r="X18" s="6" t="s">
        <v>55</v>
      </c>
      <c r="Y18" s="6" t="s">
        <v>57</v>
      </c>
      <c r="Z18" s="6" t="s">
        <v>55</v>
      </c>
      <c r="AA18" s="6" t="s">
        <v>55</v>
      </c>
      <c r="AB18" s="30">
        <v>21.0</v>
      </c>
      <c r="AC18" s="30">
        <v>3.0</v>
      </c>
      <c r="AD18" s="30">
        <v>0.0</v>
      </c>
      <c r="AE18" s="30">
        <v>88.0</v>
      </c>
    </row>
    <row r="19">
      <c r="A19" s="4" t="s">
        <v>142</v>
      </c>
      <c r="B19" s="6" t="s">
        <v>143</v>
      </c>
      <c r="C19" s="6" t="s">
        <v>63</v>
      </c>
      <c r="D19" s="6" t="s">
        <v>55</v>
      </c>
      <c r="E19" s="4" t="s">
        <v>55</v>
      </c>
      <c r="F19" s="4" t="s">
        <v>55</v>
      </c>
      <c r="G19" s="6" t="s">
        <v>55</v>
      </c>
      <c r="H19" s="4" t="s">
        <v>55</v>
      </c>
      <c r="I19" s="6" t="s">
        <v>55</v>
      </c>
      <c r="J19" s="6" t="s">
        <v>57</v>
      </c>
      <c r="K19" s="6" t="s">
        <v>55</v>
      </c>
      <c r="L19" s="6" t="s">
        <v>55</v>
      </c>
      <c r="M19" s="4" t="s">
        <v>55</v>
      </c>
      <c r="N19" s="6" t="s">
        <v>55</v>
      </c>
      <c r="O19" s="4" t="s">
        <v>55</v>
      </c>
      <c r="P19" s="4" t="s">
        <v>55</v>
      </c>
      <c r="Q19" s="6" t="s">
        <v>55</v>
      </c>
      <c r="R19" s="6" t="s">
        <v>55</v>
      </c>
      <c r="S19" s="6" t="s">
        <v>55</v>
      </c>
      <c r="T19" s="6" t="s">
        <v>55</v>
      </c>
      <c r="U19" s="6" t="s">
        <v>55</v>
      </c>
      <c r="V19" s="6" t="s">
        <v>55</v>
      </c>
      <c r="W19" s="6" t="s">
        <v>55</v>
      </c>
      <c r="X19" s="6" t="s">
        <v>55</v>
      </c>
      <c r="Y19" s="6" t="s">
        <v>55</v>
      </c>
      <c r="Z19" s="6" t="s">
        <v>55</v>
      </c>
      <c r="AA19" s="6" t="s">
        <v>55</v>
      </c>
      <c r="AB19" s="30">
        <v>23.0</v>
      </c>
      <c r="AC19" s="30">
        <v>1.0</v>
      </c>
      <c r="AD19" s="30">
        <v>0.0</v>
      </c>
      <c r="AE19" s="30">
        <v>96.0</v>
      </c>
    </row>
    <row r="20">
      <c r="A20" s="4" t="s">
        <v>146</v>
      </c>
      <c r="B20" s="6" t="s">
        <v>147</v>
      </c>
      <c r="C20" s="6" t="s">
        <v>63</v>
      </c>
      <c r="D20" s="6" t="s">
        <v>55</v>
      </c>
      <c r="E20" s="4" t="s">
        <v>55</v>
      </c>
      <c r="F20" s="6" t="s">
        <v>55</v>
      </c>
      <c r="G20" s="4" t="s">
        <v>55</v>
      </c>
      <c r="H20" s="4" t="s">
        <v>55</v>
      </c>
      <c r="I20" s="6" t="s">
        <v>55</v>
      </c>
      <c r="J20" s="6" t="s">
        <v>55</v>
      </c>
      <c r="K20" s="6" t="s">
        <v>55</v>
      </c>
      <c r="L20" s="6" t="s">
        <v>55</v>
      </c>
      <c r="M20" s="4" t="s">
        <v>55</v>
      </c>
      <c r="N20" s="6" t="s">
        <v>55</v>
      </c>
      <c r="O20" s="6" t="s">
        <v>55</v>
      </c>
      <c r="P20" s="4" t="s">
        <v>57</v>
      </c>
      <c r="Q20" s="6" t="s">
        <v>55</v>
      </c>
      <c r="R20" s="6" t="s">
        <v>55</v>
      </c>
      <c r="S20" s="6" t="s">
        <v>55</v>
      </c>
      <c r="T20" s="6" t="s">
        <v>55</v>
      </c>
      <c r="U20" s="6" t="s">
        <v>55</v>
      </c>
      <c r="V20" s="6" t="s">
        <v>55</v>
      </c>
      <c r="W20" s="6" t="s">
        <v>55</v>
      </c>
      <c r="X20" s="6" t="s">
        <v>55</v>
      </c>
      <c r="Y20" s="6" t="s">
        <v>55</v>
      </c>
      <c r="Z20" s="6" t="s">
        <v>55</v>
      </c>
      <c r="AA20" s="6" t="s">
        <v>55</v>
      </c>
      <c r="AB20" s="30">
        <v>23.0</v>
      </c>
      <c r="AC20" s="30">
        <v>1.0</v>
      </c>
      <c r="AD20" s="30">
        <v>0.0</v>
      </c>
      <c r="AE20" s="30">
        <v>96.0</v>
      </c>
    </row>
    <row r="21">
      <c r="A21" s="4" t="s">
        <v>150</v>
      </c>
      <c r="B21" s="6" t="s">
        <v>151</v>
      </c>
      <c r="C21" s="6" t="s">
        <v>54</v>
      </c>
      <c r="D21" s="6" t="s">
        <v>55</v>
      </c>
      <c r="E21" s="4" t="s">
        <v>55</v>
      </c>
      <c r="F21" s="4" t="s">
        <v>55</v>
      </c>
      <c r="G21" s="4" t="s">
        <v>55</v>
      </c>
      <c r="H21" s="6" t="s">
        <v>55</v>
      </c>
      <c r="I21" s="4" t="s">
        <v>55</v>
      </c>
      <c r="J21" s="6" t="s">
        <v>55</v>
      </c>
      <c r="K21" s="4" t="s">
        <v>55</v>
      </c>
      <c r="L21" s="4" t="s">
        <v>55</v>
      </c>
      <c r="M21" s="4" t="s">
        <v>55</v>
      </c>
      <c r="N21" s="4" t="s">
        <v>57</v>
      </c>
      <c r="O21" s="4" t="s">
        <v>55</v>
      </c>
      <c r="P21" s="4" t="s">
        <v>57</v>
      </c>
      <c r="Q21" s="6" t="s">
        <v>55</v>
      </c>
      <c r="R21" s="6" t="s">
        <v>55</v>
      </c>
      <c r="S21" s="6" t="s">
        <v>55</v>
      </c>
      <c r="T21" s="6" t="s">
        <v>55</v>
      </c>
      <c r="U21" s="6" t="s">
        <v>57</v>
      </c>
      <c r="V21" s="6" t="s">
        <v>55</v>
      </c>
      <c r="W21" s="6" t="s">
        <v>55</v>
      </c>
      <c r="X21" s="6" t="s">
        <v>55</v>
      </c>
      <c r="Y21" s="6" t="s">
        <v>55</v>
      </c>
      <c r="Z21" s="6" t="s">
        <v>55</v>
      </c>
      <c r="AA21" s="6" t="s">
        <v>55</v>
      </c>
      <c r="AB21" s="30">
        <v>21.0</v>
      </c>
      <c r="AC21" s="30">
        <v>3.0</v>
      </c>
      <c r="AD21" s="30">
        <v>0.0</v>
      </c>
      <c r="AE21" s="30">
        <v>88.0</v>
      </c>
    </row>
    <row r="22">
      <c r="A22" s="4" t="s">
        <v>154</v>
      </c>
      <c r="B22" s="6" t="s">
        <v>155</v>
      </c>
      <c r="C22" s="6" t="s">
        <v>63</v>
      </c>
      <c r="D22" s="6" t="s">
        <v>55</v>
      </c>
      <c r="E22" s="6" t="s">
        <v>55</v>
      </c>
      <c r="F22" s="6" t="s">
        <v>55</v>
      </c>
      <c r="G22" s="4" t="s">
        <v>55</v>
      </c>
      <c r="H22" s="6" t="s">
        <v>55</v>
      </c>
      <c r="I22" s="4" t="s">
        <v>55</v>
      </c>
      <c r="J22" s="6" t="s">
        <v>55</v>
      </c>
      <c r="K22" s="4" t="s">
        <v>55</v>
      </c>
      <c r="L22" s="6" t="s">
        <v>57</v>
      </c>
      <c r="M22" s="6" t="s">
        <v>55</v>
      </c>
      <c r="N22" s="6" t="s">
        <v>57</v>
      </c>
      <c r="O22" s="6" t="s">
        <v>55</v>
      </c>
      <c r="P22" s="4" t="s">
        <v>57</v>
      </c>
      <c r="Q22" s="6" t="s">
        <v>55</v>
      </c>
      <c r="R22" s="6" t="s">
        <v>55</v>
      </c>
      <c r="S22" s="6" t="s">
        <v>55</v>
      </c>
      <c r="T22" s="6" t="s">
        <v>55</v>
      </c>
      <c r="U22" s="6" t="s">
        <v>55</v>
      </c>
      <c r="V22" s="6" t="s">
        <v>55</v>
      </c>
      <c r="W22" s="6" t="s">
        <v>57</v>
      </c>
      <c r="X22" s="6" t="s">
        <v>55</v>
      </c>
      <c r="Y22" s="6" t="s">
        <v>55</v>
      </c>
      <c r="Z22" s="6" t="s">
        <v>55</v>
      </c>
      <c r="AA22" s="6" t="s">
        <v>55</v>
      </c>
      <c r="AB22" s="30">
        <v>20.0</v>
      </c>
      <c r="AC22" s="30">
        <v>4.0</v>
      </c>
      <c r="AD22" s="30">
        <v>0.0</v>
      </c>
      <c r="AE22" s="30">
        <v>83.0</v>
      </c>
    </row>
    <row r="23">
      <c r="A23" s="4" t="s">
        <v>156</v>
      </c>
      <c r="B23" s="6" t="s">
        <v>157</v>
      </c>
      <c r="C23" s="6" t="s">
        <v>63</v>
      </c>
      <c r="D23" s="6" t="s">
        <v>55</v>
      </c>
      <c r="E23" s="6" t="s">
        <v>55</v>
      </c>
      <c r="F23" s="4" t="s">
        <v>55</v>
      </c>
      <c r="G23" s="6" t="s">
        <v>55</v>
      </c>
      <c r="H23" s="4" t="s">
        <v>55</v>
      </c>
      <c r="I23" s="6" t="s">
        <v>55</v>
      </c>
      <c r="J23" s="6" t="s">
        <v>55</v>
      </c>
      <c r="K23" s="4" t="s">
        <v>55</v>
      </c>
      <c r="L23" s="4" t="s">
        <v>55</v>
      </c>
      <c r="M23" s="4" t="s">
        <v>55</v>
      </c>
      <c r="N23" s="4" t="s">
        <v>57</v>
      </c>
      <c r="O23" s="4" t="s">
        <v>55</v>
      </c>
      <c r="P23" s="4" t="s">
        <v>55</v>
      </c>
      <c r="Q23" s="6" t="s">
        <v>55</v>
      </c>
      <c r="R23" s="6" t="s">
        <v>55</v>
      </c>
      <c r="S23" s="6" t="s">
        <v>55</v>
      </c>
      <c r="T23" s="6" t="s">
        <v>55</v>
      </c>
      <c r="U23" s="6" t="s">
        <v>57</v>
      </c>
      <c r="V23" s="6" t="s">
        <v>55</v>
      </c>
      <c r="W23" s="6" t="s">
        <v>57</v>
      </c>
      <c r="X23" s="6" t="s">
        <v>57</v>
      </c>
      <c r="Y23" s="6" t="s">
        <v>55</v>
      </c>
      <c r="Z23" s="6" t="s">
        <v>55</v>
      </c>
      <c r="AA23" s="6" t="s">
        <v>55</v>
      </c>
      <c r="AB23" s="30">
        <v>20.0</v>
      </c>
      <c r="AC23" s="30">
        <v>4.0</v>
      </c>
      <c r="AD23" s="30">
        <v>0.0</v>
      </c>
      <c r="AE23" s="30">
        <v>83.0</v>
      </c>
    </row>
    <row r="24">
      <c r="A24" s="4" t="s">
        <v>152</v>
      </c>
      <c r="B24" s="6" t="s">
        <v>153</v>
      </c>
      <c r="C24" s="6" t="s">
        <v>63</v>
      </c>
      <c r="D24" s="6" t="s">
        <v>55</v>
      </c>
      <c r="E24" s="4" t="s">
        <v>55</v>
      </c>
      <c r="F24" s="4" t="s">
        <v>55</v>
      </c>
      <c r="G24" s="4" t="s">
        <v>55</v>
      </c>
      <c r="H24" s="4" t="s">
        <v>55</v>
      </c>
      <c r="I24" s="4" t="s">
        <v>55</v>
      </c>
      <c r="J24" s="6" t="s">
        <v>55</v>
      </c>
      <c r="K24" s="4" t="s">
        <v>55</v>
      </c>
      <c r="L24" s="4" t="s">
        <v>55</v>
      </c>
      <c r="M24" s="4" t="s">
        <v>55</v>
      </c>
      <c r="N24" s="6" t="s">
        <v>55</v>
      </c>
      <c r="O24" s="4" t="s">
        <v>57</v>
      </c>
      <c r="P24" s="4" t="s">
        <v>55</v>
      </c>
      <c r="Q24" s="6" t="s">
        <v>55</v>
      </c>
      <c r="R24" s="6" t="s">
        <v>55</v>
      </c>
      <c r="S24" s="6" t="s">
        <v>55</v>
      </c>
      <c r="T24" s="6" t="s">
        <v>55</v>
      </c>
      <c r="U24" s="6" t="s">
        <v>55</v>
      </c>
      <c r="V24" s="6" t="s">
        <v>55</v>
      </c>
      <c r="W24" s="6" t="s">
        <v>55</v>
      </c>
      <c r="X24" s="6" t="s">
        <v>55</v>
      </c>
      <c r="Y24" s="6" t="s">
        <v>55</v>
      </c>
      <c r="Z24" s="6" t="s">
        <v>55</v>
      </c>
      <c r="AA24" s="6" t="s">
        <v>55</v>
      </c>
      <c r="AB24" s="30">
        <v>23.0</v>
      </c>
      <c r="AC24" s="30">
        <v>1.0</v>
      </c>
      <c r="AD24" s="30">
        <v>0.0</v>
      </c>
      <c r="AE24" s="30">
        <v>96.0</v>
      </c>
    </row>
    <row r="25">
      <c r="A25" s="38" t="s">
        <v>148</v>
      </c>
      <c r="B25" s="39" t="s">
        <v>149</v>
      </c>
      <c r="C25" s="39" t="s">
        <v>63</v>
      </c>
      <c r="D25" s="39" t="s">
        <v>55</v>
      </c>
      <c r="E25" s="38" t="s">
        <v>55</v>
      </c>
      <c r="F25" s="38" t="s">
        <v>55</v>
      </c>
      <c r="G25" s="38" t="s">
        <v>55</v>
      </c>
      <c r="H25" s="38" t="s">
        <v>55</v>
      </c>
      <c r="I25" s="38" t="s">
        <v>55</v>
      </c>
      <c r="J25" s="39" t="s">
        <v>55</v>
      </c>
      <c r="K25" s="38" t="s">
        <v>55</v>
      </c>
      <c r="L25" s="38" t="s">
        <v>57</v>
      </c>
      <c r="M25" s="38" t="s">
        <v>55</v>
      </c>
      <c r="N25" s="39" t="s">
        <v>57</v>
      </c>
      <c r="O25" s="38" t="s">
        <v>57</v>
      </c>
      <c r="P25" s="38" t="s">
        <v>57</v>
      </c>
      <c r="Q25" s="39" t="s">
        <v>55</v>
      </c>
      <c r="R25" s="39" t="s">
        <v>55</v>
      </c>
      <c r="S25" s="39" t="s">
        <v>57</v>
      </c>
      <c r="T25" s="39" t="s">
        <v>55</v>
      </c>
      <c r="U25" s="39" t="s">
        <v>57</v>
      </c>
      <c r="V25" s="39" t="s">
        <v>57</v>
      </c>
      <c r="W25" s="39" t="s">
        <v>57</v>
      </c>
      <c r="X25" s="39" t="s">
        <v>57</v>
      </c>
      <c r="Y25" s="39" t="s">
        <v>57</v>
      </c>
      <c r="Z25" s="39" t="s">
        <v>57</v>
      </c>
      <c r="AA25" s="39" t="s">
        <v>55</v>
      </c>
      <c r="AB25" s="69">
        <v>0.0</v>
      </c>
      <c r="AC25" s="69">
        <v>24.0</v>
      </c>
      <c r="AD25" s="41">
        <v>0.0</v>
      </c>
      <c r="AE25" s="41">
        <v>54.0</v>
      </c>
    </row>
    <row r="26">
      <c r="A26" s="4" t="s">
        <v>144</v>
      </c>
      <c r="B26" s="6" t="s">
        <v>145</v>
      </c>
      <c r="C26" s="6" t="s">
        <v>63</v>
      </c>
      <c r="D26" s="6" t="s">
        <v>55</v>
      </c>
      <c r="E26" s="4" t="s">
        <v>55</v>
      </c>
      <c r="F26" s="4" t="s">
        <v>55</v>
      </c>
      <c r="G26" s="4" t="s">
        <v>55</v>
      </c>
      <c r="H26" s="4" t="s">
        <v>55</v>
      </c>
      <c r="I26" s="4" t="s">
        <v>55</v>
      </c>
      <c r="J26" s="6" t="s">
        <v>55</v>
      </c>
      <c r="K26" s="4" t="s">
        <v>55</v>
      </c>
      <c r="L26" s="4" t="s">
        <v>55</v>
      </c>
      <c r="M26" s="4" t="s">
        <v>55</v>
      </c>
      <c r="N26" s="6" t="s">
        <v>55</v>
      </c>
      <c r="O26" s="4" t="s">
        <v>57</v>
      </c>
      <c r="P26" s="4" t="s">
        <v>57</v>
      </c>
      <c r="Q26" s="6" t="s">
        <v>55</v>
      </c>
      <c r="R26" s="6" t="s">
        <v>55</v>
      </c>
      <c r="S26" s="6" t="s">
        <v>55</v>
      </c>
      <c r="T26" s="6" t="s">
        <v>55</v>
      </c>
      <c r="U26" s="6" t="s">
        <v>57</v>
      </c>
      <c r="V26" s="6" t="s">
        <v>57</v>
      </c>
      <c r="W26" s="6" t="s">
        <v>55</v>
      </c>
      <c r="X26" s="6" t="s">
        <v>57</v>
      </c>
      <c r="Y26" s="6" t="s">
        <v>55</v>
      </c>
      <c r="Z26" s="6" t="s">
        <v>55</v>
      </c>
      <c r="AA26" s="6" t="s">
        <v>55</v>
      </c>
      <c r="AB26" s="30">
        <v>19.0</v>
      </c>
      <c r="AC26" s="30">
        <v>5.0</v>
      </c>
      <c r="AD26" s="30">
        <v>0.0</v>
      </c>
      <c r="AE26" s="30">
        <v>79.0</v>
      </c>
    </row>
    <row r="27">
      <c r="A27" s="4" t="s">
        <v>140</v>
      </c>
      <c r="B27" s="6" t="s">
        <v>141</v>
      </c>
      <c r="C27" s="6" t="s">
        <v>106</v>
      </c>
      <c r="D27" s="6" t="s">
        <v>55</v>
      </c>
      <c r="E27" s="4" t="s">
        <v>55</v>
      </c>
      <c r="F27" s="4" t="s">
        <v>55</v>
      </c>
      <c r="G27" s="6" t="s">
        <v>55</v>
      </c>
      <c r="H27" s="4" t="s">
        <v>55</v>
      </c>
      <c r="I27" s="4" t="s">
        <v>55</v>
      </c>
      <c r="J27" s="6" t="s">
        <v>55</v>
      </c>
      <c r="K27" s="4" t="s">
        <v>55</v>
      </c>
      <c r="L27" s="4" t="s">
        <v>57</v>
      </c>
      <c r="M27" s="4" t="s">
        <v>55</v>
      </c>
      <c r="N27" s="4" t="s">
        <v>57</v>
      </c>
      <c r="O27" s="4" t="s">
        <v>57</v>
      </c>
      <c r="P27" s="4" t="s">
        <v>55</v>
      </c>
      <c r="Q27" s="6" t="s">
        <v>55</v>
      </c>
      <c r="R27" s="6" t="s">
        <v>55</v>
      </c>
      <c r="S27" s="6" t="s">
        <v>57</v>
      </c>
      <c r="T27" s="6" t="s">
        <v>55</v>
      </c>
      <c r="U27" s="6" t="s">
        <v>55</v>
      </c>
      <c r="V27" s="6" t="s">
        <v>57</v>
      </c>
      <c r="W27" s="6" t="s">
        <v>55</v>
      </c>
      <c r="X27" s="6" t="s">
        <v>55</v>
      </c>
      <c r="Y27" s="6" t="s">
        <v>55</v>
      </c>
      <c r="Z27" s="6" t="s">
        <v>57</v>
      </c>
      <c r="AA27" s="6" t="s">
        <v>55</v>
      </c>
      <c r="AB27" s="30">
        <v>18.0</v>
      </c>
      <c r="AC27" s="30">
        <v>6.0</v>
      </c>
      <c r="AD27" s="30">
        <v>0.0</v>
      </c>
      <c r="AE27" s="30">
        <v>75.0</v>
      </c>
    </row>
    <row r="28">
      <c r="A28" s="4" t="s">
        <v>133</v>
      </c>
      <c r="B28" s="6" t="s">
        <v>134</v>
      </c>
      <c r="C28" s="6" t="s">
        <v>106</v>
      </c>
      <c r="D28" s="6" t="s">
        <v>55</v>
      </c>
      <c r="E28" s="4" t="s">
        <v>55</v>
      </c>
      <c r="F28" s="4" t="s">
        <v>55</v>
      </c>
      <c r="G28" s="4" t="s">
        <v>55</v>
      </c>
      <c r="H28" s="4" t="s">
        <v>57</v>
      </c>
      <c r="I28" s="4" t="s">
        <v>55</v>
      </c>
      <c r="J28" s="6" t="s">
        <v>55</v>
      </c>
      <c r="K28" s="4" t="s">
        <v>55</v>
      </c>
      <c r="L28" s="4" t="s">
        <v>55</v>
      </c>
      <c r="M28" s="6" t="s">
        <v>55</v>
      </c>
      <c r="N28" s="4" t="s">
        <v>55</v>
      </c>
      <c r="O28" s="4" t="s">
        <v>55</v>
      </c>
      <c r="P28" s="4" t="s">
        <v>55</v>
      </c>
      <c r="Q28" s="6" t="s">
        <v>55</v>
      </c>
      <c r="R28" s="6" t="s">
        <v>55</v>
      </c>
      <c r="S28" s="6" t="s">
        <v>55</v>
      </c>
      <c r="T28" s="6" t="s">
        <v>55</v>
      </c>
      <c r="U28" s="6" t="s">
        <v>55</v>
      </c>
      <c r="V28" s="6" t="s">
        <v>55</v>
      </c>
      <c r="W28" s="6" t="s">
        <v>55</v>
      </c>
      <c r="X28" s="6" t="s">
        <v>55</v>
      </c>
      <c r="Y28" s="6" t="s">
        <v>55</v>
      </c>
      <c r="Z28" s="6" t="s">
        <v>55</v>
      </c>
      <c r="AA28" s="6" t="s">
        <v>55</v>
      </c>
      <c r="AB28" s="30">
        <v>23.0</v>
      </c>
      <c r="AC28" s="30">
        <v>1.0</v>
      </c>
      <c r="AD28" s="30">
        <v>0.0</v>
      </c>
      <c r="AE28" s="30">
        <v>96.0</v>
      </c>
    </row>
    <row r="29">
      <c r="A29" s="4" t="s">
        <v>129</v>
      </c>
      <c r="B29" s="6" t="s">
        <v>130</v>
      </c>
      <c r="C29" s="6" t="s">
        <v>161</v>
      </c>
      <c r="D29" s="6" t="s">
        <v>55</v>
      </c>
      <c r="E29" s="4" t="s">
        <v>55</v>
      </c>
      <c r="F29" s="4" t="s">
        <v>55</v>
      </c>
      <c r="G29" s="4" t="s">
        <v>55</v>
      </c>
      <c r="H29" s="4" t="s">
        <v>55</v>
      </c>
      <c r="I29" s="4" t="s">
        <v>55</v>
      </c>
      <c r="J29" s="6" t="s">
        <v>57</v>
      </c>
      <c r="K29" s="6" t="s">
        <v>55</v>
      </c>
      <c r="L29" s="4" t="s">
        <v>55</v>
      </c>
      <c r="M29" s="6" t="s">
        <v>55</v>
      </c>
      <c r="N29" s="4" t="s">
        <v>55</v>
      </c>
      <c r="O29" s="4" t="s">
        <v>55</v>
      </c>
      <c r="P29" s="4" t="s">
        <v>55</v>
      </c>
      <c r="Q29" s="6" t="s">
        <v>55</v>
      </c>
      <c r="R29" s="6" t="s">
        <v>55</v>
      </c>
      <c r="S29" s="6" t="s">
        <v>55</v>
      </c>
      <c r="T29" s="6" t="s">
        <v>55</v>
      </c>
      <c r="U29" s="6" t="s">
        <v>55</v>
      </c>
      <c r="V29" s="6" t="s">
        <v>55</v>
      </c>
      <c r="W29" s="6" t="s">
        <v>55</v>
      </c>
      <c r="X29" s="6" t="s">
        <v>55</v>
      </c>
      <c r="Y29" s="6" t="s">
        <v>55</v>
      </c>
      <c r="Z29" s="6" t="s">
        <v>55</v>
      </c>
      <c r="AA29" s="6" t="s">
        <v>55</v>
      </c>
      <c r="AB29" s="30">
        <v>23.0</v>
      </c>
      <c r="AC29" s="30">
        <v>1.0</v>
      </c>
      <c r="AD29" s="30">
        <v>0.0</v>
      </c>
      <c r="AE29" s="30">
        <v>96.0</v>
      </c>
    </row>
    <row r="30">
      <c r="A30" s="4" t="s">
        <v>122</v>
      </c>
      <c r="B30" s="6" t="s">
        <v>123</v>
      </c>
      <c r="C30" s="6" t="s">
        <v>163</v>
      </c>
      <c r="D30" s="6" t="s">
        <v>55</v>
      </c>
      <c r="E30" s="4" t="s">
        <v>55</v>
      </c>
      <c r="F30" s="4" t="s">
        <v>55</v>
      </c>
      <c r="G30" s="4" t="s">
        <v>55</v>
      </c>
      <c r="H30" s="4" t="s">
        <v>55</v>
      </c>
      <c r="I30" s="6" t="s">
        <v>55</v>
      </c>
      <c r="J30" s="6" t="s">
        <v>55</v>
      </c>
      <c r="K30" s="6" t="s">
        <v>55</v>
      </c>
      <c r="L30" s="4" t="s">
        <v>55</v>
      </c>
      <c r="M30" s="6" t="s">
        <v>55</v>
      </c>
      <c r="N30" s="4" t="s">
        <v>55</v>
      </c>
      <c r="O30" s="6" t="s">
        <v>55</v>
      </c>
      <c r="P30" s="4" t="s">
        <v>55</v>
      </c>
      <c r="Q30" s="6" t="s">
        <v>55</v>
      </c>
      <c r="R30" s="6" t="s">
        <v>55</v>
      </c>
      <c r="S30" s="6" t="s">
        <v>55</v>
      </c>
      <c r="T30" s="6" t="s">
        <v>55</v>
      </c>
      <c r="U30" s="6" t="s">
        <v>55</v>
      </c>
      <c r="V30" s="6" t="s">
        <v>55</v>
      </c>
      <c r="W30" s="6" t="s">
        <v>55</v>
      </c>
      <c r="X30" s="6" t="s">
        <v>55</v>
      </c>
      <c r="Y30" s="6" t="s">
        <v>55</v>
      </c>
      <c r="Z30" s="6" t="s">
        <v>55</v>
      </c>
      <c r="AA30" s="6" t="s">
        <v>55</v>
      </c>
      <c r="AB30" s="30">
        <v>24.0</v>
      </c>
      <c r="AC30" s="30">
        <v>0.0</v>
      </c>
      <c r="AD30" s="30">
        <v>0.0</v>
      </c>
      <c r="AE30" s="30">
        <v>100.0</v>
      </c>
    </row>
    <row r="31">
      <c r="A31" s="4" t="s">
        <v>118</v>
      </c>
      <c r="B31" s="6" t="s">
        <v>119</v>
      </c>
      <c r="C31" s="6" t="s">
        <v>63</v>
      </c>
      <c r="D31" s="6" t="s">
        <v>55</v>
      </c>
      <c r="E31" s="4" t="s">
        <v>55</v>
      </c>
      <c r="F31" s="4" t="s">
        <v>55</v>
      </c>
      <c r="G31" s="4" t="s">
        <v>55</v>
      </c>
      <c r="H31" s="4" t="s">
        <v>55</v>
      </c>
      <c r="I31" s="4" t="s">
        <v>55</v>
      </c>
      <c r="J31" s="6" t="s">
        <v>55</v>
      </c>
      <c r="K31" s="6" t="s">
        <v>55</v>
      </c>
      <c r="L31" s="4" t="s">
        <v>57</v>
      </c>
      <c r="M31" s="4" t="s">
        <v>55</v>
      </c>
      <c r="N31" s="4" t="s">
        <v>57</v>
      </c>
      <c r="O31" s="6" t="s">
        <v>55</v>
      </c>
      <c r="P31" s="4" t="s">
        <v>55</v>
      </c>
      <c r="Q31" s="6" t="s">
        <v>55</v>
      </c>
      <c r="R31" s="6" t="s">
        <v>55</v>
      </c>
      <c r="S31" s="6" t="s">
        <v>55</v>
      </c>
      <c r="T31" s="6" t="s">
        <v>55</v>
      </c>
      <c r="U31" s="6" t="s">
        <v>55</v>
      </c>
      <c r="V31" s="6" t="s">
        <v>55</v>
      </c>
      <c r="W31" s="6" t="s">
        <v>55</v>
      </c>
      <c r="X31" s="6" t="s">
        <v>55</v>
      </c>
      <c r="Y31" s="6" t="s">
        <v>55</v>
      </c>
      <c r="Z31" s="6" t="s">
        <v>55</v>
      </c>
      <c r="AA31" s="6" t="s">
        <v>55</v>
      </c>
      <c r="AB31" s="30">
        <v>22.0</v>
      </c>
      <c r="AC31" s="30">
        <v>2.0</v>
      </c>
      <c r="AD31" s="30">
        <v>0.0</v>
      </c>
      <c r="AE31" s="30">
        <v>92.0</v>
      </c>
    </row>
    <row r="32">
      <c r="A32" s="4" t="s">
        <v>112</v>
      </c>
      <c r="B32" s="6" t="s">
        <v>113</v>
      </c>
      <c r="C32" s="6" t="s">
        <v>165</v>
      </c>
      <c r="D32" s="6" t="s">
        <v>55</v>
      </c>
      <c r="E32" s="4" t="s">
        <v>55</v>
      </c>
      <c r="F32" s="4" t="s">
        <v>55</v>
      </c>
      <c r="G32" s="4" t="s">
        <v>55</v>
      </c>
      <c r="H32" s="4" t="s">
        <v>55</v>
      </c>
      <c r="I32" s="4" t="s">
        <v>55</v>
      </c>
      <c r="J32" s="6" t="s">
        <v>55</v>
      </c>
      <c r="K32" s="4" t="s">
        <v>55</v>
      </c>
      <c r="L32" s="6" t="s">
        <v>55</v>
      </c>
      <c r="M32" s="4" t="s">
        <v>55</v>
      </c>
      <c r="N32" s="4" t="s">
        <v>57</v>
      </c>
      <c r="O32" s="4" t="s">
        <v>55</v>
      </c>
      <c r="P32" s="4" t="s">
        <v>57</v>
      </c>
      <c r="Q32" s="6" t="s">
        <v>55</v>
      </c>
      <c r="R32" s="6" t="s">
        <v>55</v>
      </c>
      <c r="S32" s="6" t="s">
        <v>57</v>
      </c>
      <c r="T32" s="6" t="s">
        <v>55</v>
      </c>
      <c r="U32" s="6" t="s">
        <v>55</v>
      </c>
      <c r="V32" s="6" t="s">
        <v>57</v>
      </c>
      <c r="W32" s="6" t="s">
        <v>57</v>
      </c>
      <c r="X32" s="6" t="s">
        <v>55</v>
      </c>
      <c r="Y32" s="6" t="s">
        <v>55</v>
      </c>
      <c r="Z32" s="6" t="s">
        <v>55</v>
      </c>
      <c r="AA32" s="6" t="s">
        <v>55</v>
      </c>
      <c r="AB32" s="30">
        <v>19.0</v>
      </c>
      <c r="AC32" s="30">
        <v>5.0</v>
      </c>
      <c r="AD32" s="30">
        <v>0.0</v>
      </c>
      <c r="AE32" s="30">
        <v>79.0</v>
      </c>
    </row>
    <row r="33">
      <c r="A33" s="4" t="s">
        <v>107</v>
      </c>
      <c r="B33" s="6" t="s">
        <v>108</v>
      </c>
      <c r="C33" s="6" t="s">
        <v>165</v>
      </c>
      <c r="D33" s="6" t="s">
        <v>55</v>
      </c>
      <c r="E33" s="4" t="s">
        <v>55</v>
      </c>
      <c r="F33" s="4" t="s">
        <v>55</v>
      </c>
      <c r="G33" s="4" t="s">
        <v>55</v>
      </c>
      <c r="H33" s="4" t="s">
        <v>55</v>
      </c>
      <c r="I33" s="6" t="s">
        <v>55</v>
      </c>
      <c r="J33" s="6" t="s">
        <v>55</v>
      </c>
      <c r="K33" s="6" t="s">
        <v>55</v>
      </c>
      <c r="L33" s="6" t="s">
        <v>55</v>
      </c>
      <c r="M33" s="6" t="s">
        <v>55</v>
      </c>
      <c r="N33" s="6" t="s">
        <v>55</v>
      </c>
      <c r="O33" s="6" t="s">
        <v>55</v>
      </c>
      <c r="P33" s="4" t="s">
        <v>57</v>
      </c>
      <c r="Q33" s="6" t="s">
        <v>55</v>
      </c>
      <c r="R33" s="6" t="s">
        <v>55</v>
      </c>
      <c r="S33" s="6" t="s">
        <v>57</v>
      </c>
      <c r="T33" s="6" t="s">
        <v>55</v>
      </c>
      <c r="U33" s="6" t="s">
        <v>55</v>
      </c>
      <c r="V33" s="6" t="s">
        <v>57</v>
      </c>
      <c r="W33" s="6" t="s">
        <v>57</v>
      </c>
      <c r="X33" s="6" t="s">
        <v>57</v>
      </c>
      <c r="Y33" s="6" t="s">
        <v>55</v>
      </c>
      <c r="Z33" s="6" t="s">
        <v>55</v>
      </c>
      <c r="AA33" s="6" t="s">
        <v>55</v>
      </c>
      <c r="AB33" s="30">
        <v>19.0</v>
      </c>
      <c r="AC33" s="30">
        <v>5.0</v>
      </c>
      <c r="AD33" s="30">
        <v>0.0</v>
      </c>
      <c r="AE33" s="30">
        <v>79.0</v>
      </c>
    </row>
    <row r="34">
      <c r="A34" s="4" t="s">
        <v>100</v>
      </c>
      <c r="B34" s="6" t="s">
        <v>101</v>
      </c>
      <c r="C34" s="6" t="s">
        <v>63</v>
      </c>
      <c r="D34" s="6" t="s">
        <v>55</v>
      </c>
      <c r="E34" s="6" t="s">
        <v>55</v>
      </c>
      <c r="F34" s="4" t="s">
        <v>55</v>
      </c>
      <c r="G34" s="6" t="s">
        <v>55</v>
      </c>
      <c r="H34" s="4" t="s">
        <v>55</v>
      </c>
      <c r="I34" s="6" t="s">
        <v>55</v>
      </c>
      <c r="J34" s="6" t="s">
        <v>55</v>
      </c>
      <c r="K34" s="6" t="s">
        <v>55</v>
      </c>
      <c r="L34" s="6" t="s">
        <v>55</v>
      </c>
      <c r="M34" s="6" t="s">
        <v>55</v>
      </c>
      <c r="N34" s="4" t="s">
        <v>55</v>
      </c>
      <c r="O34" s="6" t="s">
        <v>57</v>
      </c>
      <c r="P34" s="4" t="s">
        <v>55</v>
      </c>
      <c r="Q34" s="6" t="s">
        <v>55</v>
      </c>
      <c r="R34" s="6" t="s">
        <v>55</v>
      </c>
      <c r="S34" s="6" t="s">
        <v>55</v>
      </c>
      <c r="T34" s="6" t="s">
        <v>55</v>
      </c>
      <c r="U34" s="6" t="s">
        <v>55</v>
      </c>
      <c r="V34" s="6" t="s">
        <v>55</v>
      </c>
      <c r="W34" s="6" t="s">
        <v>55</v>
      </c>
      <c r="X34" s="6" t="s">
        <v>57</v>
      </c>
      <c r="Y34" s="6" t="s">
        <v>55</v>
      </c>
      <c r="Z34" s="6" t="s">
        <v>57</v>
      </c>
      <c r="AA34" s="6" t="s">
        <v>55</v>
      </c>
      <c r="AB34" s="30">
        <v>21.0</v>
      </c>
      <c r="AC34" s="30">
        <v>3.0</v>
      </c>
      <c r="AD34" s="30">
        <v>0.0</v>
      </c>
      <c r="AE34" s="30">
        <v>88.0</v>
      </c>
    </row>
    <row r="35">
      <c r="A35" s="4" t="s">
        <v>23</v>
      </c>
      <c r="B35" s="6" t="s">
        <v>26</v>
      </c>
      <c r="C35" s="6" t="s">
        <v>63</v>
      </c>
      <c r="D35" s="6" t="s">
        <v>55</v>
      </c>
      <c r="E35" s="6" t="s">
        <v>55</v>
      </c>
      <c r="F35" s="6" t="s">
        <v>55</v>
      </c>
      <c r="G35" s="6" t="s">
        <v>55</v>
      </c>
      <c r="H35" s="6" t="s">
        <v>57</v>
      </c>
      <c r="I35" s="6" t="s">
        <v>55</v>
      </c>
      <c r="J35" s="6" t="s">
        <v>55</v>
      </c>
      <c r="K35" s="6" t="s">
        <v>57</v>
      </c>
      <c r="L35" s="6" t="s">
        <v>57</v>
      </c>
      <c r="M35" s="4" t="s">
        <v>55</v>
      </c>
      <c r="N35" s="6" t="s">
        <v>55</v>
      </c>
      <c r="O35" s="4" t="s">
        <v>55</v>
      </c>
      <c r="P35" s="4" t="s">
        <v>57</v>
      </c>
      <c r="Q35" s="6" t="s">
        <v>55</v>
      </c>
      <c r="R35" s="6" t="s">
        <v>55</v>
      </c>
      <c r="S35" s="6" t="s">
        <v>55</v>
      </c>
      <c r="T35" s="6" t="s">
        <v>55</v>
      </c>
      <c r="U35" s="6" t="s">
        <v>55</v>
      </c>
      <c r="V35" s="6" t="s">
        <v>57</v>
      </c>
      <c r="W35" s="6" t="s">
        <v>55</v>
      </c>
      <c r="X35" s="6" t="s">
        <v>55</v>
      </c>
      <c r="Y35" s="6" t="s">
        <v>55</v>
      </c>
      <c r="Z35" s="6" t="s">
        <v>55</v>
      </c>
      <c r="AA35" s="6" t="s">
        <v>55</v>
      </c>
      <c r="AB35" s="30">
        <v>19.0</v>
      </c>
      <c r="AC35" s="30">
        <v>5.0</v>
      </c>
      <c r="AD35" s="30">
        <v>0.0</v>
      </c>
      <c r="AE35" s="30">
        <v>79.0</v>
      </c>
    </row>
    <row r="36">
      <c r="C36" s="71">
        <v>1.0</v>
      </c>
      <c r="D36" s="71">
        <v>1.0</v>
      </c>
      <c r="E36" s="71">
        <v>0.0</v>
      </c>
      <c r="F36" s="72">
        <v>1.0</v>
      </c>
      <c r="G36" s="72">
        <v>1.0</v>
      </c>
      <c r="H36" s="72">
        <v>1.0</v>
      </c>
      <c r="I36" s="72">
        <v>1.0</v>
      </c>
      <c r="J36" s="71">
        <v>1.0</v>
      </c>
      <c r="K36" s="72">
        <v>1.0</v>
      </c>
      <c r="L36" s="72">
        <v>1.0</v>
      </c>
      <c r="M36" s="72">
        <v>1.0</v>
      </c>
      <c r="N36" s="72">
        <v>1.0</v>
      </c>
      <c r="O36" s="72">
        <v>1.0</v>
      </c>
      <c r="P36" s="72">
        <v>1.0</v>
      </c>
      <c r="Q36" s="71">
        <v>1.0</v>
      </c>
      <c r="R36" s="71">
        <v>1.0</v>
      </c>
      <c r="S36" s="71">
        <v>1.0</v>
      </c>
      <c r="T36" s="71">
        <v>1.0</v>
      </c>
      <c r="U36" s="71">
        <v>1.0</v>
      </c>
      <c r="V36" s="71">
        <v>1.0</v>
      </c>
      <c r="W36" s="71">
        <v>1.0</v>
      </c>
      <c r="X36" s="71"/>
      <c r="Y36" s="71"/>
      <c r="Z36" s="71"/>
      <c r="AA36" s="71"/>
      <c r="AB36" s="71"/>
      <c r="AC36" s="71"/>
      <c r="AD36" s="71"/>
      <c r="AE36" s="71"/>
    </row>
    <row r="37">
      <c r="C37" s="71">
        <v>1.0</v>
      </c>
      <c r="D37" s="71">
        <v>1.0</v>
      </c>
      <c r="E37" s="72">
        <v>1.0</v>
      </c>
      <c r="F37" s="72">
        <v>1.0</v>
      </c>
      <c r="G37" s="71">
        <v>0.0</v>
      </c>
      <c r="H37" s="72">
        <v>1.0</v>
      </c>
      <c r="I37" s="72">
        <v>1.0</v>
      </c>
      <c r="J37" s="71">
        <v>1.0</v>
      </c>
      <c r="K37" s="72">
        <v>1.0</v>
      </c>
      <c r="L37" s="72">
        <v>1.0</v>
      </c>
      <c r="M37" s="72">
        <v>1.0</v>
      </c>
      <c r="N37" s="72">
        <v>1.0</v>
      </c>
      <c r="O37" s="72">
        <v>1.0</v>
      </c>
      <c r="P37" s="72">
        <v>1.0</v>
      </c>
      <c r="Q37" s="71">
        <v>1.0</v>
      </c>
      <c r="R37" s="71">
        <v>1.0</v>
      </c>
      <c r="S37" s="71">
        <v>1.0</v>
      </c>
      <c r="T37" s="71">
        <v>1.0</v>
      </c>
      <c r="U37" s="71">
        <v>1.0</v>
      </c>
      <c r="V37" s="71">
        <v>1.0</v>
      </c>
      <c r="W37" s="71">
        <v>1.0</v>
      </c>
      <c r="X37" s="71"/>
      <c r="Y37" s="71"/>
      <c r="Z37" s="71"/>
      <c r="AA37" s="71"/>
      <c r="AB37" s="71"/>
      <c r="AC37" s="71"/>
      <c r="AD37" s="71"/>
      <c r="AE37" s="71"/>
    </row>
    <row r="38">
      <c r="C38" s="71">
        <v>1.0</v>
      </c>
      <c r="D38" s="71">
        <v>1.0</v>
      </c>
      <c r="E38" s="72">
        <v>1.0</v>
      </c>
      <c r="F38" s="72">
        <v>1.0</v>
      </c>
      <c r="G38" s="72">
        <v>1.0</v>
      </c>
      <c r="H38" s="72">
        <v>1.0</v>
      </c>
      <c r="I38" s="72">
        <v>1.0</v>
      </c>
      <c r="J38" s="71">
        <v>1.0</v>
      </c>
      <c r="K38" s="72">
        <v>1.0</v>
      </c>
      <c r="L38" s="72">
        <v>1.0</v>
      </c>
      <c r="M38" s="72">
        <v>1.0</v>
      </c>
      <c r="N38" s="72">
        <v>1.0</v>
      </c>
      <c r="O38" s="71">
        <v>0.0</v>
      </c>
      <c r="P38" s="72">
        <v>1.0</v>
      </c>
      <c r="Q38" s="71">
        <v>1.0</v>
      </c>
      <c r="R38" s="71">
        <v>1.0</v>
      </c>
      <c r="S38" s="71">
        <v>1.0</v>
      </c>
      <c r="T38" s="71">
        <v>1.0</v>
      </c>
      <c r="U38" s="71">
        <v>1.0</v>
      </c>
      <c r="V38" s="71">
        <v>1.0</v>
      </c>
      <c r="W38" s="71">
        <v>1.0</v>
      </c>
      <c r="X38" s="71"/>
      <c r="Y38" s="71"/>
      <c r="Z38" s="71"/>
      <c r="AA38" s="71"/>
      <c r="AB38" s="71"/>
      <c r="AC38" s="71"/>
      <c r="AD38" s="71"/>
      <c r="AE38" s="71"/>
    </row>
  </sheetData>
  <drawing r:id="rId1"/>
</worksheet>
</file>